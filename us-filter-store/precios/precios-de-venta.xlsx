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de venta" sheetId="1" state="visible" r:id="rId1"/>
    <sheet xmlns:r="http://schemas.openxmlformats.org/officeDocument/2006/relationships" name="Supuestos" sheetId="2" state="visible" r:id="rId2"/>
    <sheet xmlns:r="http://schemas.openxmlformats.org/officeDocument/2006/relationships" name="Cómo le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0A5EA8"/>
      </patternFill>
    </fill>
    <fill>
      <patternFill patternType="solid">
        <fgColor rgb="00E3F6EC"/>
      </patternFill>
    </fill>
    <fill>
      <patternFill patternType="solid">
        <fgColor rgb="00FDE2E2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4" fontId="2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14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5" customWidth="1" min="10" max="10"/>
    <col width="12" customWidth="1" min="11" max="11"/>
    <col width="9" customWidth="1" min="12" max="12"/>
    <col width="13" customWidth="1" min="13" max="13"/>
    <col width="13" customWidth="1" min="14" max="14"/>
    <col width="34" customWidth="1" min="15" max="15"/>
    <col width="52" customWidth="1" min="16" max="16"/>
    <col width="30" customWidth="1" min="17" max="17"/>
    <col width="8" customWidth="1" min="18" max="18"/>
    <col width="40" customWidth="1" min="19" max="19"/>
  </cols>
  <sheetData>
    <row r="1" ht="48" customHeight="1">
      <c r="A1" s="1" t="inlineStr">
        <is>
          <t>Marca</t>
        </is>
      </c>
      <c r="B1" s="1" t="inlineStr">
        <is>
          <t>Referencia</t>
        </is>
      </c>
      <c r="C1" s="1" t="inlineStr">
        <is>
          <t>Producto en la tienda</t>
        </is>
      </c>
      <c r="D1" s="1" t="inlineStr">
        <is>
          <t>Costo proveedor (USD)</t>
        </is>
      </c>
      <c r="E1" s="1" t="inlineStr">
        <is>
          <t>Costo puesto en depósito</t>
        </is>
      </c>
      <c r="F1" s="1" t="inlineStr">
        <is>
          <t>Costo + envío al cliente</t>
        </is>
      </c>
      <c r="G1" s="1" t="inlineStr">
        <is>
          <t>Precio mínimo (ganancia ≥ piso)</t>
        </is>
      </c>
      <c r="H1" s="1" t="inlineStr">
        <is>
          <t>Precio objetivo</t>
        </is>
      </c>
      <c r="I1" s="1" t="inlineStr">
        <is>
          <t>Precio de la calle (mercado)</t>
        </is>
      </c>
      <c r="J1" s="1" t="inlineStr">
        <is>
          <t>PRECIO DE VENTA 1 filtro</t>
        </is>
      </c>
      <c r="K1" s="1" t="inlineStr">
        <is>
          <t>Ganancia por filtro (USD)</t>
        </is>
      </c>
      <c r="L1" s="1" t="inlineStr">
        <is>
          <t>Margen %</t>
        </is>
      </c>
      <c r="M1" s="1" t="inlineStr">
        <is>
          <t>Precio paquete de 2</t>
        </is>
      </c>
      <c r="N1" s="1" t="inlineStr">
        <is>
          <t>Ganancia paquete (USD)</t>
        </is>
      </c>
      <c r="O1" s="1" t="inlineStr">
        <is>
          <t>Veredicto</t>
        </is>
      </c>
      <c r="P1" s="1" t="inlineStr">
        <is>
          <t>Precios vistos en el mercado</t>
        </is>
      </c>
      <c r="Q1" s="1" t="inlineStr">
        <is>
          <t>Fuente</t>
        </is>
      </c>
      <c r="R1" s="1" t="inlineStr">
        <is>
          <t>Cartón</t>
        </is>
      </c>
      <c r="S1" s="1" t="inlineStr">
        <is>
          <t>Nota del proveedor</t>
        </is>
      </c>
    </row>
    <row r="2">
      <c r="A2" t="inlineStr">
        <is>
          <t>Samsung</t>
        </is>
      </c>
      <c r="B2" t="inlineStr">
        <is>
          <t>DA29-00003F / HA-FIN1</t>
        </is>
      </c>
      <c r="C2" t="inlineStr"/>
      <c r="D2" s="2" t="n">
        <v>19</v>
      </c>
      <c r="E2" s="2">
        <f>D2*(1+Supuestos!$B$4)</f>
        <v/>
      </c>
      <c r="F2" s="2">
        <f>E2+Supuestos!$B$5</f>
        <v/>
      </c>
      <c r="G2" s="2">
        <f>ROUNDUP((F2+Supuestos!$B$3+Supuestos!$B$9)/(1-Supuestos!$B$2),0)-0.01</f>
        <v/>
      </c>
      <c r="H2" s="2">
        <f>ROUNDUP(MAX((F2+Supuestos!$B$3)/(1-Supuestos!$B$2-Supuestos!$B$8),(F2+Supuestos!$B$3+Supuestos!$B$7)/(1-Supuestos!$B$2)),0)-0.01</f>
        <v/>
      </c>
      <c r="I2" s="2" t="n"/>
      <c r="J2" s="3" t="n">
        <v>36.99</v>
      </c>
      <c r="K2" s="2">
        <f>J2-J2*Supuestos!$B$2-Supuestos!$B$3-F2</f>
        <v/>
      </c>
      <c r="L2" s="4">
        <f>K2/J2</f>
        <v/>
      </c>
      <c r="M2" s="2">
        <f>ROUNDUP(MAX(2*J2*0.92,(2*E2+Supuestos!$B$6+Supuestos!$B$3+8)/(1-Supuestos!$B$2)),0)-0.01</f>
        <v/>
      </c>
      <c r="N2" s="2">
        <f>M2-M2*Supuestos!$B$2-Supuestos!$B$3-2*E2-Supuestos!$B$6</f>
        <v/>
      </c>
      <c r="O2" t="inlineStr">
        <is>
          <t>Sin precio de mercado: precio objetivo</t>
        </is>
      </c>
      <c r="P2" t="inlineStr">
        <is>
          <t>Sin datos de mercado</t>
        </is>
      </c>
      <c r="Q2" t="inlineStr"/>
      <c r="R2" t="n">
        <v>30</v>
      </c>
      <c r="S2" t="inlineStr"/>
    </row>
    <row r="3">
      <c r="A3" t="inlineStr">
        <is>
          <t>Samsung</t>
        </is>
      </c>
      <c r="B3" t="inlineStr">
        <is>
          <t>DA29-00003G / HAF-CU1 / HAF-FIN2</t>
        </is>
      </c>
      <c r="C3" t="inlineStr">
        <is>
          <t>sam-cu1-o</t>
        </is>
      </c>
      <c r="D3" s="2" t="n">
        <v>24.5</v>
      </c>
      <c r="E3" s="2">
        <f>D3*(1+Supuestos!$B$4)</f>
        <v/>
      </c>
      <c r="F3" s="2">
        <f>E3+Supuestos!$B$5</f>
        <v/>
      </c>
      <c r="G3" s="2">
        <f>ROUNDUP((F3+Supuestos!$B$3+Supuestos!$B$9)/(1-Supuestos!$B$2),0)-0.01</f>
        <v/>
      </c>
      <c r="H3" s="2">
        <f>ROUNDUP(MAX((F3+Supuestos!$B$3)/(1-Supuestos!$B$2-Supuestos!$B$8),(F3+Supuestos!$B$3+Supuestos!$B$7)/(1-Supuestos!$B$2)),0)-0.01</f>
        <v/>
      </c>
      <c r="I3" s="2" t="n"/>
      <c r="J3" s="3" t="n">
        <v>43.99</v>
      </c>
      <c r="K3" s="2">
        <f>J3-J3*Supuestos!$B$2-Supuestos!$B$3-F3</f>
        <v/>
      </c>
      <c r="L3" s="4">
        <f>K3/J3</f>
        <v/>
      </c>
      <c r="M3" s="2">
        <f>ROUNDUP(MAX(2*J3*0.92,(2*E3+Supuestos!$B$6+Supuestos!$B$3+8)/(1-Supuestos!$B$2)),0)-0.01</f>
        <v/>
      </c>
      <c r="N3" s="2">
        <f>M3-M3*Supuestos!$B$2-Supuestos!$B$3-2*E3-Supuestos!$B$6</f>
        <v/>
      </c>
      <c r="O3" t="inlineStr">
        <is>
          <t>Sin precio de mercado: precio objetivo</t>
        </is>
      </c>
      <c r="P3" t="inlineStr">
        <is>
          <t>Sin datos de mercado</t>
        </is>
      </c>
      <c r="Q3" t="inlineStr"/>
      <c r="R3" t="n">
        <v>6</v>
      </c>
      <c r="S3" t="inlineStr"/>
    </row>
    <row r="4">
      <c r="A4" t="inlineStr">
        <is>
          <t>Samsung</t>
        </is>
      </c>
      <c r="B4" t="inlineStr">
        <is>
          <t>DA29-00020B / HAF-CIN</t>
        </is>
      </c>
      <c r="C4" t="inlineStr">
        <is>
          <t>sam-cin-o</t>
        </is>
      </c>
      <c r="D4" s="2" t="n">
        <v>23.5</v>
      </c>
      <c r="E4" s="2">
        <f>D4*(1+Supuestos!$B$4)</f>
        <v/>
      </c>
      <c r="F4" s="2">
        <f>E4+Supuestos!$B$5</f>
        <v/>
      </c>
      <c r="G4" s="2">
        <f>ROUNDUP((F4+Supuestos!$B$3+Supuestos!$B$9)/(1-Supuestos!$B$2),0)-0.01</f>
        <v/>
      </c>
      <c r="H4" s="2">
        <f>ROUNDUP(MAX((F4+Supuestos!$B$3)/(1-Supuestos!$B$2-Supuestos!$B$8),(F4+Supuestos!$B$3+Supuestos!$B$7)/(1-Supuestos!$B$2)),0)-0.01</f>
        <v/>
      </c>
      <c r="I4" s="2" t="n">
        <v>34.99</v>
      </c>
      <c r="J4" s="3" t="n"/>
      <c r="K4" s="2" t="n"/>
      <c r="L4" s="4" t="n"/>
      <c r="M4" s="2" t="n"/>
      <c r="N4" s="2" t="n"/>
      <c r="O4" s="5" t="inlineStr">
        <is>
          <t>No vender suelto: el mercado está casi al precio de costo</t>
        </is>
      </c>
      <c r="P4" t="inlineStr">
        <is>
          <t>Lista 59.99; Allfilters 34.99; eBay desde 18.99</t>
        </is>
      </c>
      <c r="Q4" t="inlineStr">
        <is>
          <t>allfilters.com, ebay.com</t>
        </is>
      </c>
      <c r="R4" t="n">
        <v>6</v>
      </c>
      <c r="S4" t="inlineStr"/>
    </row>
    <row r="5">
      <c r="A5" t="inlineStr">
        <is>
          <t>Samsung</t>
        </is>
      </c>
      <c r="B5" t="inlineStr">
        <is>
          <t>DA97-17376B / HAF-QIN</t>
        </is>
      </c>
      <c r="C5" t="inlineStr">
        <is>
          <t>sam-qin-o</t>
        </is>
      </c>
      <c r="D5" s="2" t="n">
        <v>25.5</v>
      </c>
      <c r="E5" s="2">
        <f>D5*(1+Supuestos!$B$4)</f>
        <v/>
      </c>
      <c r="F5" s="2">
        <f>E5+Supuestos!$B$5</f>
        <v/>
      </c>
      <c r="G5" s="2">
        <f>ROUNDUP((F5+Supuestos!$B$3+Supuestos!$B$9)/(1-Supuestos!$B$2),0)-0.01</f>
        <v/>
      </c>
      <c r="H5" s="2">
        <f>ROUNDUP(MAX((F5+Supuestos!$B$3)/(1-Supuestos!$B$2-Supuestos!$B$8),(F5+Supuestos!$B$3+Supuestos!$B$7)/(1-Supuestos!$B$2)),0)-0.01</f>
        <v/>
      </c>
      <c r="I5" s="2" t="n">
        <v>36.99</v>
      </c>
      <c r="J5" s="3" t="n"/>
      <c r="K5" s="2" t="n"/>
      <c r="L5" s="4" t="n"/>
      <c r="M5" s="2" t="n"/>
      <c r="N5" s="2" t="n"/>
      <c r="O5" s="5" t="inlineStr">
        <is>
          <t>No vender suelto: el mercado está casi al precio de costo</t>
        </is>
      </c>
      <c r="P5" t="inlineStr">
        <is>
          <t>Genuino 34–44; Allfilters 36.99; terceros 28.99 por 3</t>
        </is>
      </c>
      <c r="Q5" t="inlineStr">
        <is>
          <t>allfilters.com, slickdeals.net</t>
        </is>
      </c>
      <c r="R5" t="n">
        <v>6</v>
      </c>
      <c r="S5" t="inlineStr"/>
    </row>
    <row r="6">
      <c r="A6" t="inlineStr">
        <is>
          <t>Samsung</t>
        </is>
      </c>
      <c r="B6" t="inlineStr">
        <is>
          <t>DA29-10105J / HAF-EX</t>
        </is>
      </c>
      <c r="C6" t="inlineStr">
        <is>
          <t>sam-ex-o</t>
        </is>
      </c>
      <c r="D6" s="2" t="n">
        <v>9.5</v>
      </c>
      <c r="E6" s="2">
        <f>D6*(1+Supuestos!$B$4)</f>
        <v/>
      </c>
      <c r="F6" s="2">
        <f>E6+Supuestos!$B$5</f>
        <v/>
      </c>
      <c r="G6" s="2">
        <f>ROUNDUP((F6+Supuestos!$B$3+Supuestos!$B$9)/(1-Supuestos!$B$2),0)-0.01</f>
        <v/>
      </c>
      <c r="H6" s="2">
        <f>ROUNDUP(MAX((F6+Supuestos!$B$3)/(1-Supuestos!$B$2-Supuestos!$B$8),(F6+Supuestos!$B$3+Supuestos!$B$7)/(1-Supuestos!$B$2)),0)-0.01</f>
        <v/>
      </c>
      <c r="I6" s="2" t="n">
        <v>19</v>
      </c>
      <c r="J6" s="3" t="n"/>
      <c r="K6" s="2" t="n"/>
      <c r="L6" s="4" t="n"/>
      <c r="M6" s="2" t="n"/>
      <c r="N6" s="2" t="n"/>
      <c r="O6" s="5" t="inlineStr">
        <is>
          <t>No vender suelto: el mercado está casi al precio de costo</t>
        </is>
      </c>
      <c r="P6" t="inlineStr">
        <is>
          <t>eBay 15–18 + envío; filtro en línea 4378411RB a 23.49 (Slyman)</t>
        </is>
      </c>
      <c r="Q6" t="inlineStr">
        <is>
          <t>ebay, slymanbros.com</t>
        </is>
      </c>
      <c r="R6" t="n">
        <v>25</v>
      </c>
      <c r="S6" t="inlineStr"/>
    </row>
    <row r="7">
      <c r="A7" t="inlineStr">
        <is>
          <t>LG</t>
        </is>
      </c>
      <c r="B7" t="inlineStr">
        <is>
          <t>LT1000P</t>
        </is>
      </c>
      <c r="C7" t="inlineStr">
        <is>
          <t>lg-1000-o</t>
        </is>
      </c>
      <c r="D7" s="2" t="n">
        <v>37.75</v>
      </c>
      <c r="E7" s="2">
        <f>D7*(1+Supuestos!$B$4)</f>
        <v/>
      </c>
      <c r="F7" s="2">
        <f>E7+Supuestos!$B$5</f>
        <v/>
      </c>
      <c r="G7" s="2">
        <f>ROUNDUP((F7+Supuestos!$B$3+Supuestos!$B$9)/(1-Supuestos!$B$2),0)-0.01</f>
        <v/>
      </c>
      <c r="H7" s="2">
        <f>ROUNDUP(MAX((F7+Supuestos!$B$3)/(1-Supuestos!$B$2-Supuestos!$B$8),(F7+Supuestos!$B$3+Supuestos!$B$7)/(1-Supuestos!$B$2)),0)-0.01</f>
        <v/>
      </c>
      <c r="I7" s="2" t="n">
        <v>54.99</v>
      </c>
      <c r="J7" s="3" t="n">
        <v>61.99</v>
      </c>
      <c r="K7" s="2">
        <f>J7-J7*Supuestos!$B$2-Supuestos!$B$3-F7</f>
        <v/>
      </c>
      <c r="L7" s="4">
        <f>K7/J7</f>
        <v/>
      </c>
      <c r="M7" s="2">
        <f>ROUNDUP(MAX(2*J7*0.92,(2*E7+Supuestos!$B$6+Supuestos!$B$3+8)/(1-Supuestos!$B$2)),0)-0.01</f>
        <v/>
      </c>
      <c r="N7" s="2">
        <f>M7-M7*Supuestos!$B$2-Supuestos!$B$3-2*E7-Supuestos!$B$6</f>
        <v/>
      </c>
      <c r="O7" t="inlineStr">
        <is>
          <t>Competitivo</t>
        </is>
      </c>
      <c r="P7" t="inlineStr">
        <is>
          <t>Genuino 54.99; terceros desde 12.95</t>
        </is>
      </c>
      <c r="Q7" t="inlineStr">
        <is>
          <t>allfilters.com, star-power.com</t>
        </is>
      </c>
      <c r="R7" t="n">
        <v>36</v>
      </c>
      <c r="S7" t="inlineStr"/>
    </row>
    <row r="8">
      <c r="A8" t="inlineStr">
        <is>
          <t>LG</t>
        </is>
      </c>
      <c r="B8" t="inlineStr">
        <is>
          <t>LT800P</t>
        </is>
      </c>
      <c r="C8" t="inlineStr">
        <is>
          <t>lg-800-o</t>
        </is>
      </c>
      <c r="D8" s="2" t="n">
        <v>36.5</v>
      </c>
      <c r="E8" s="2">
        <f>D8*(1+Supuestos!$B$4)</f>
        <v/>
      </c>
      <c r="F8" s="2">
        <f>E8+Supuestos!$B$5</f>
        <v/>
      </c>
      <c r="G8" s="2">
        <f>ROUNDUP((F8+Supuestos!$B$3+Supuestos!$B$9)/(1-Supuestos!$B$2),0)-0.01</f>
        <v/>
      </c>
      <c r="H8" s="2">
        <f>ROUNDUP(MAX((F8+Supuestos!$B$3)/(1-Supuestos!$B$2-Supuestos!$B$8),(F8+Supuestos!$B$3+Supuestos!$B$7)/(1-Supuestos!$B$2)),0)-0.01</f>
        <v/>
      </c>
      <c r="I8" s="2" t="n">
        <v>54.97</v>
      </c>
      <c r="J8" s="3" t="n">
        <v>59.99</v>
      </c>
      <c r="K8" s="2">
        <f>J8-J8*Supuestos!$B$2-Supuestos!$B$3-F8</f>
        <v/>
      </c>
      <c r="L8" s="4">
        <f>K8/J8</f>
        <v/>
      </c>
      <c r="M8" s="2">
        <f>ROUNDUP(MAX(2*J8*0.92,(2*E8+Supuestos!$B$6+Supuestos!$B$3+8)/(1-Supuestos!$B$2)),0)-0.01</f>
        <v/>
      </c>
      <c r="N8" s="2">
        <f>M8-M8*Supuestos!$B$2-Supuestos!$B$3-2*E8-Supuestos!$B$6</f>
        <v/>
      </c>
      <c r="O8" t="inlineStr">
        <is>
          <t>Competitivo</t>
        </is>
      </c>
      <c r="P8" t="inlineStr">
        <is>
          <t>PC Richard 54.97</t>
        </is>
      </c>
      <c r="Q8" t="inlineStr">
        <is>
          <t>pcrichard.com</t>
        </is>
      </c>
      <c r="R8" t="n">
        <v>49</v>
      </c>
      <c r="S8" t="inlineStr"/>
    </row>
    <row r="9">
      <c r="A9" t="inlineStr">
        <is>
          <t>LG</t>
        </is>
      </c>
      <c r="B9" t="inlineStr">
        <is>
          <t>LT700P</t>
        </is>
      </c>
      <c r="C9" t="inlineStr">
        <is>
          <t>lg-700-o</t>
        </is>
      </c>
      <c r="D9" s="2" t="n">
        <v>36.5</v>
      </c>
      <c r="E9" s="2">
        <f>D9*(1+Supuestos!$B$4)</f>
        <v/>
      </c>
      <c r="F9" s="2">
        <f>E9+Supuestos!$B$5</f>
        <v/>
      </c>
      <c r="G9" s="2">
        <f>ROUNDUP((F9+Supuestos!$B$3+Supuestos!$B$9)/(1-Supuestos!$B$2),0)-0.01</f>
        <v/>
      </c>
      <c r="H9" s="2">
        <f>ROUNDUP(MAX((F9+Supuestos!$B$3)/(1-Supuestos!$B$2-Supuestos!$B$8),(F9+Supuestos!$B$3+Supuestos!$B$7)/(1-Supuestos!$B$2)),0)-0.01</f>
        <v/>
      </c>
      <c r="I9" s="2" t="n">
        <v>49.99</v>
      </c>
      <c r="J9" s="3" t="n">
        <v>54.99</v>
      </c>
      <c r="K9" s="2">
        <f>J9-J9*Supuestos!$B$2-Supuestos!$B$3-F9</f>
        <v/>
      </c>
      <c r="L9" s="4">
        <f>K9/J9</f>
        <v/>
      </c>
      <c r="M9" s="2">
        <f>ROUNDUP(MAX(2*J9*0.92,(2*E9+Supuestos!$B$6+Supuestos!$B$3+8)/(1-Supuestos!$B$2)),0)-0.01</f>
        <v/>
      </c>
      <c r="N9" s="2">
        <f>M9-M9*Supuestos!$B$2-Supuestos!$B$3-2*E9-Supuestos!$B$6</f>
        <v/>
      </c>
      <c r="O9" s="6" t="inlineStr">
        <is>
          <t>Ganancia justa: igualar al mercado</t>
        </is>
      </c>
      <c r="P9" t="inlineStr">
        <is>
          <t>Walmart 50.99; Atomic 44.95; genérico 11–25</t>
        </is>
      </c>
      <c r="Q9" t="inlineStr">
        <is>
          <t>walmart.com, atomicfilters.com</t>
        </is>
      </c>
      <c r="R9" t="n">
        <v>36</v>
      </c>
      <c r="S9" t="inlineStr"/>
    </row>
    <row r="10">
      <c r="A10" t="inlineStr">
        <is>
          <t>LG</t>
        </is>
      </c>
      <c r="B10" t="inlineStr">
        <is>
          <t>LT700P without T code</t>
        </is>
      </c>
      <c r="C10" t="inlineStr"/>
      <c r="D10" s="2" t="n">
        <v>24.5</v>
      </c>
      <c r="E10" s="2">
        <f>D10*(1+Supuestos!$B$4)</f>
        <v/>
      </c>
      <c r="F10" s="2">
        <f>E10+Supuestos!$B$5</f>
        <v/>
      </c>
      <c r="G10" s="2">
        <f>ROUNDUP((F10+Supuestos!$B$3+Supuestos!$B$9)/(1-Supuestos!$B$2),0)-0.01</f>
        <v/>
      </c>
      <c r="H10" s="2">
        <f>ROUNDUP(MAX((F10+Supuestos!$B$3)/(1-Supuestos!$B$2-Supuestos!$B$8),(F10+Supuestos!$B$3+Supuestos!$B$7)/(1-Supuestos!$B$2)),0)-0.01</f>
        <v/>
      </c>
      <c r="I10" s="2" t="n"/>
      <c r="J10" s="3" t="n">
        <v>43.99</v>
      </c>
      <c r="K10" s="2">
        <f>J10-J10*Supuestos!$B$2-Supuestos!$B$3-F10</f>
        <v/>
      </c>
      <c r="L10" s="4">
        <f>K10/J10</f>
        <v/>
      </c>
      <c r="M10" s="2">
        <f>ROUNDUP(MAX(2*J10*0.92,(2*E10+Supuestos!$B$6+Supuestos!$B$3+8)/(1-Supuestos!$B$2)),0)-0.01</f>
        <v/>
      </c>
      <c r="N10" s="2">
        <f>M10-M10*Supuestos!$B$2-Supuestos!$B$3-2*E10-Supuestos!$B$6</f>
        <v/>
      </c>
      <c r="O10" t="inlineStr">
        <is>
          <t>Sin precio de mercado: precio objetivo</t>
        </is>
      </c>
      <c r="P10" t="inlineStr">
        <is>
          <t>Sin datos de mercado</t>
        </is>
      </c>
      <c r="Q10" t="inlineStr"/>
      <c r="R10" t="n">
        <v>36</v>
      </c>
      <c r="S10" t="inlineStr">
        <is>
          <t>Variante sin código T: confirma con el proveedor qué significa antes de venderla como LG.</t>
        </is>
      </c>
    </row>
    <row r="11">
      <c r="A11" t="inlineStr">
        <is>
          <t>LG</t>
        </is>
      </c>
      <c r="B11" t="inlineStr">
        <is>
          <t>LT600P</t>
        </is>
      </c>
      <c r="C11" t="inlineStr">
        <is>
          <t>lg-600-o</t>
        </is>
      </c>
      <c r="D11" s="2" t="n">
        <v>36.5</v>
      </c>
      <c r="E11" s="2">
        <f>D11*(1+Supuestos!$B$4)</f>
        <v/>
      </c>
      <c r="F11" s="2">
        <f>E11+Supuestos!$B$5</f>
        <v/>
      </c>
      <c r="G11" s="2">
        <f>ROUNDUP((F11+Supuestos!$B$3+Supuestos!$B$9)/(1-Supuestos!$B$2),0)-0.01</f>
        <v/>
      </c>
      <c r="H11" s="2">
        <f>ROUNDUP(MAX((F11+Supuestos!$B$3)/(1-Supuestos!$B$2-Supuestos!$B$8),(F11+Supuestos!$B$3+Supuestos!$B$7)/(1-Supuestos!$B$2)),0)-0.01</f>
        <v/>
      </c>
      <c r="I11" s="2" t="n"/>
      <c r="J11" s="3" t="n">
        <v>59.99</v>
      </c>
      <c r="K11" s="2">
        <f>J11-J11*Supuestos!$B$2-Supuestos!$B$3-F11</f>
        <v/>
      </c>
      <c r="L11" s="4">
        <f>K11/J11</f>
        <v/>
      </c>
      <c r="M11" s="2">
        <f>ROUNDUP(MAX(2*J11*0.92,(2*E11+Supuestos!$B$6+Supuestos!$B$3+8)/(1-Supuestos!$B$2)),0)-0.01</f>
        <v/>
      </c>
      <c r="N11" s="2">
        <f>M11-M11*Supuestos!$B$2-Supuestos!$B$3-2*E11-Supuestos!$B$6</f>
        <v/>
      </c>
      <c r="O11" t="inlineStr">
        <is>
          <t>Sin precio de mercado: precio objetivo</t>
        </is>
      </c>
      <c r="P11" t="inlineStr">
        <is>
          <t>Sin datos de mercado</t>
        </is>
      </c>
      <c r="Q11" t="inlineStr"/>
      <c r="R11" t="n">
        <v>24</v>
      </c>
      <c r="S11" t="inlineStr"/>
    </row>
    <row r="12">
      <c r="A12" t="inlineStr">
        <is>
          <t>LG</t>
        </is>
      </c>
      <c r="B12" t="inlineStr">
        <is>
          <t>LT500P</t>
        </is>
      </c>
      <c r="C12" t="inlineStr">
        <is>
          <t>lg-500-o</t>
        </is>
      </c>
      <c r="D12" s="2" t="n">
        <v>34</v>
      </c>
      <c r="E12" s="2">
        <f>D12*(1+Supuestos!$B$4)</f>
        <v/>
      </c>
      <c r="F12" s="2">
        <f>E12+Supuestos!$B$5</f>
        <v/>
      </c>
      <c r="G12" s="2">
        <f>ROUNDUP((F12+Supuestos!$B$3+Supuestos!$B$9)/(1-Supuestos!$B$2),0)-0.01</f>
        <v/>
      </c>
      <c r="H12" s="2">
        <f>ROUNDUP(MAX((F12+Supuestos!$B$3)/(1-Supuestos!$B$2-Supuestos!$B$8),(F12+Supuestos!$B$3+Supuestos!$B$7)/(1-Supuestos!$B$2)),0)-0.01</f>
        <v/>
      </c>
      <c r="I12" s="2" t="n">
        <v>54.99</v>
      </c>
      <c r="J12" s="3" t="n">
        <v>55.99</v>
      </c>
      <c r="K12" s="2">
        <f>J12-J12*Supuestos!$B$2-Supuestos!$B$3-F12</f>
        <v/>
      </c>
      <c r="L12" s="4">
        <f>K12/J12</f>
        <v/>
      </c>
      <c r="M12" s="2">
        <f>ROUNDUP(MAX(2*J12*0.92,(2*E12+Supuestos!$B$6+Supuestos!$B$3+8)/(1-Supuestos!$B$2)),0)-0.01</f>
        <v/>
      </c>
      <c r="N12" s="2">
        <f>M12-M12*Supuestos!$B$2-Supuestos!$B$3-2*E12-Supuestos!$B$6</f>
        <v/>
      </c>
      <c r="O12" t="inlineStr">
        <is>
          <t>Competitivo</t>
        </is>
      </c>
      <c r="P12" t="inlineStr">
        <is>
          <t>Allfilters 54.99; terceros 12.95</t>
        </is>
      </c>
      <c r="Q12" t="inlineStr">
        <is>
          <t>allfilters.com</t>
        </is>
      </c>
      <c r="R12" t="n">
        <v>36</v>
      </c>
      <c r="S12" t="inlineStr"/>
    </row>
    <row r="13">
      <c r="A13" t="inlineStr">
        <is>
          <t>LG</t>
        </is>
      </c>
      <c r="B13" t="inlineStr">
        <is>
          <t>ADQ73693903 / FSS-002</t>
        </is>
      </c>
      <c r="C13" t="inlineStr">
        <is>
          <t>lg-ex-o</t>
        </is>
      </c>
      <c r="D13" s="2" t="n">
        <v>9.5</v>
      </c>
      <c r="E13" s="2">
        <f>D13*(1+Supuestos!$B$4)</f>
        <v/>
      </c>
      <c r="F13" s="2">
        <f>E13+Supuestos!$B$5</f>
        <v/>
      </c>
      <c r="G13" s="2">
        <f>ROUNDUP((F13+Supuestos!$B$3+Supuestos!$B$9)/(1-Supuestos!$B$2),0)-0.01</f>
        <v/>
      </c>
      <c r="H13" s="2">
        <f>ROUNDUP(MAX((F13+Supuestos!$B$3)/(1-Supuestos!$B$2-Supuestos!$B$8),(F13+Supuestos!$B$3+Supuestos!$B$7)/(1-Supuestos!$B$2)),0)-0.01</f>
        <v/>
      </c>
      <c r="I13" s="2" t="n"/>
      <c r="J13" s="3" t="n">
        <v>25.99</v>
      </c>
      <c r="K13" s="2">
        <f>J13-J13*Supuestos!$B$2-Supuestos!$B$3-F13</f>
        <v/>
      </c>
      <c r="L13" s="4">
        <f>K13/J13</f>
        <v/>
      </c>
      <c r="M13" s="2">
        <f>ROUNDUP(MAX(2*J13*0.92,(2*E13+Supuestos!$B$6+Supuestos!$B$3+8)/(1-Supuestos!$B$2)),0)-0.01</f>
        <v/>
      </c>
      <c r="N13" s="2">
        <f>M13-M13*Supuestos!$B$2-Supuestos!$B$3-2*E13-Supuestos!$B$6</f>
        <v/>
      </c>
      <c r="O13" t="inlineStr">
        <is>
          <t>Sin precio de mercado: precio objetivo</t>
        </is>
      </c>
      <c r="P13" t="inlineStr">
        <is>
          <t>Sin datos de mercado</t>
        </is>
      </c>
      <c r="Q13" t="inlineStr"/>
      <c r="R13" t="n">
        <v>36</v>
      </c>
      <c r="S13" t="inlineStr"/>
    </row>
    <row r="14">
      <c r="A14" t="inlineStr">
        <is>
          <t>LG</t>
        </is>
      </c>
      <c r="B14" t="inlineStr">
        <is>
          <t>LT120F / ADQ73334008</t>
        </is>
      </c>
      <c r="C14" t="inlineStr"/>
      <c r="D14" s="2" t="n">
        <v>18.5</v>
      </c>
      <c r="E14" s="2">
        <f>D14*(1+Supuestos!$B$4)</f>
        <v/>
      </c>
      <c r="F14" s="2">
        <f>E14+Supuestos!$B$5</f>
        <v/>
      </c>
      <c r="G14" s="2">
        <f>ROUNDUP((F14+Supuestos!$B$3+Supuestos!$B$9)/(1-Supuestos!$B$2),0)-0.01</f>
        <v/>
      </c>
      <c r="H14" s="2">
        <f>ROUNDUP(MAX((F14+Supuestos!$B$3)/(1-Supuestos!$B$2-Supuestos!$B$8),(F14+Supuestos!$B$3+Supuestos!$B$7)/(1-Supuestos!$B$2)),0)-0.01</f>
        <v/>
      </c>
      <c r="I14" s="2" t="n"/>
      <c r="J14" s="3" t="n">
        <v>35.99</v>
      </c>
      <c r="K14" s="2">
        <f>J14-J14*Supuestos!$B$2-Supuestos!$B$3-F14</f>
        <v/>
      </c>
      <c r="L14" s="4">
        <f>K14/J14</f>
        <v/>
      </c>
      <c r="M14" s="2">
        <f>ROUNDUP(MAX(2*J14*0.92,(2*E14+Supuestos!$B$6+Supuestos!$B$3+8)/(1-Supuestos!$B$2)),0)-0.01</f>
        <v/>
      </c>
      <c r="N14" s="2">
        <f>M14-M14*Supuestos!$B$2-Supuestos!$B$3-2*E14-Supuestos!$B$6</f>
        <v/>
      </c>
      <c r="O14" t="inlineStr">
        <is>
          <t>Sin precio de mercado: precio objetivo</t>
        </is>
      </c>
      <c r="P14" t="inlineStr">
        <is>
          <t>Sin datos de mercado</t>
        </is>
      </c>
      <c r="Q14" t="inlineStr"/>
      <c r="R14" t="n">
        <v>100</v>
      </c>
      <c r="S14" t="inlineStr"/>
    </row>
    <row r="15">
      <c r="A15" t="inlineStr">
        <is>
          <t>GE</t>
        </is>
      </c>
      <c r="B15" t="inlineStr">
        <is>
          <t>MWF</t>
        </is>
      </c>
      <c r="C15" t="inlineStr">
        <is>
          <t>ge-mwf-o</t>
        </is>
      </c>
      <c r="D15" s="2" t="n">
        <v>39</v>
      </c>
      <c r="E15" s="2">
        <f>D15*(1+Supuestos!$B$4)</f>
        <v/>
      </c>
      <c r="F15" s="2">
        <f>E15+Supuestos!$B$5</f>
        <v/>
      </c>
      <c r="G15" s="2">
        <f>ROUNDUP((F15+Supuestos!$B$3+Supuestos!$B$9)/(1-Supuestos!$B$2),0)-0.01</f>
        <v/>
      </c>
      <c r="H15" s="2">
        <f>ROUNDUP(MAX((F15+Supuestos!$B$3)/(1-Supuestos!$B$2-Supuestos!$B$8),(F15+Supuestos!$B$3+Supuestos!$B$7)/(1-Supuestos!$B$2)),0)-0.01</f>
        <v/>
      </c>
      <c r="I15" s="2" t="n">
        <v>45</v>
      </c>
      <c r="J15" s="3" t="n"/>
      <c r="K15" s="2" t="n"/>
      <c r="L15" s="4" t="n"/>
      <c r="M15" s="2" t="n"/>
      <c r="N15" s="2" t="n"/>
      <c r="O15" s="5" t="inlineStr">
        <is>
          <t>No vender suelto: el mercado está casi al precio de costo</t>
        </is>
      </c>
      <c r="P15" t="inlineStr">
        <is>
          <t>Genuino 36–50 (Sears 37.14; Walmart 35.99; Allfilters 45.99)</t>
        </is>
      </c>
      <c r="Q15" t="inlineStr">
        <is>
          <t>searspartsdirect.com, allfilters.com</t>
        </is>
      </c>
      <c r="R15" t="n">
        <v>6</v>
      </c>
      <c r="S15" t="inlineStr"/>
    </row>
    <row r="16">
      <c r="A16" t="inlineStr">
        <is>
          <t>GE</t>
        </is>
      </c>
      <c r="B16" t="inlineStr">
        <is>
          <t>XWFE</t>
        </is>
      </c>
      <c r="C16" t="inlineStr"/>
      <c r="D16" s="2" t="n">
        <v>43</v>
      </c>
      <c r="E16" s="2">
        <f>D16*(1+Supuestos!$B$4)</f>
        <v/>
      </c>
      <c r="F16" s="2">
        <f>E16+Supuestos!$B$5</f>
        <v/>
      </c>
      <c r="G16" s="2">
        <f>ROUNDUP((F16+Supuestos!$B$3+Supuestos!$B$9)/(1-Supuestos!$B$2),0)-0.01</f>
        <v/>
      </c>
      <c r="H16" s="2">
        <f>ROUNDUP(MAX((F16+Supuestos!$B$3)/(1-Supuestos!$B$2-Supuestos!$B$8),(F16+Supuestos!$B$3+Supuestos!$B$7)/(1-Supuestos!$B$2)),0)-0.01</f>
        <v/>
      </c>
      <c r="I16" s="2" t="n"/>
      <c r="J16" s="3" t="n">
        <v>68.98999999999999</v>
      </c>
      <c r="K16" s="2">
        <f>J16-J16*Supuestos!$B$2-Supuestos!$B$3-F16</f>
        <v/>
      </c>
      <c r="L16" s="4">
        <f>K16/J16</f>
        <v/>
      </c>
      <c r="M16" s="2">
        <f>ROUNDUP(MAX(2*J16*0.92,(2*E16+Supuestos!$B$6+Supuestos!$B$3+8)/(1-Supuestos!$B$2)),0)-0.01</f>
        <v/>
      </c>
      <c r="N16" s="2">
        <f>M16-M16*Supuestos!$B$2-Supuestos!$B$3-2*E16-Supuestos!$B$6</f>
        <v/>
      </c>
      <c r="O16" t="inlineStr">
        <is>
          <t>Sin precio de mercado: precio objetivo</t>
        </is>
      </c>
      <c r="P16" t="inlineStr">
        <is>
          <t>Solo genéricos a 18–25; sin precio del genuino</t>
        </is>
      </c>
      <c r="Q16" t="inlineStr">
        <is>
          <t>walmart.com</t>
        </is>
      </c>
      <c r="R16" t="n">
        <v>4</v>
      </c>
      <c r="S16" t="inlineStr">
        <is>
          <t>Tu tienda de Colombia vende el XWF (no es igual al XWFE): confirma cuál vas a vender.</t>
        </is>
      </c>
    </row>
    <row r="17">
      <c r="A17" t="inlineStr">
        <is>
          <t>GE</t>
        </is>
      </c>
      <c r="B17" t="inlineStr">
        <is>
          <t>RPWFE</t>
        </is>
      </c>
      <c r="C17" t="inlineStr"/>
      <c r="D17" s="2" t="n">
        <v>43</v>
      </c>
      <c r="E17" s="2">
        <f>D17*(1+Supuestos!$B$4)</f>
        <v/>
      </c>
      <c r="F17" s="2">
        <f>E17+Supuestos!$B$5</f>
        <v/>
      </c>
      <c r="G17" s="2">
        <f>ROUNDUP((F17+Supuestos!$B$3+Supuestos!$B$9)/(1-Supuestos!$B$2),0)-0.01</f>
        <v/>
      </c>
      <c r="H17" s="2">
        <f>ROUNDUP(MAX((F17+Supuestos!$B$3)/(1-Supuestos!$B$2-Supuestos!$B$8),(F17+Supuestos!$B$3+Supuestos!$B$7)/(1-Supuestos!$B$2)),0)-0.01</f>
        <v/>
      </c>
      <c r="I17" s="2" t="n"/>
      <c r="J17" s="3" t="n">
        <v>68.98999999999999</v>
      </c>
      <c r="K17" s="2">
        <f>J17-J17*Supuestos!$B$2-Supuestos!$B$3-F17</f>
        <v/>
      </c>
      <c r="L17" s="4">
        <f>K17/J17</f>
        <v/>
      </c>
      <c r="M17" s="2">
        <f>ROUNDUP(MAX(2*J17*0.92,(2*E17+Supuestos!$B$6+Supuestos!$B$3+8)/(1-Supuestos!$B$2)),0)-0.01</f>
        <v/>
      </c>
      <c r="N17" s="2">
        <f>M17-M17*Supuestos!$B$2-Supuestos!$B$3-2*E17-Supuestos!$B$6</f>
        <v/>
      </c>
      <c r="O17" t="inlineStr">
        <is>
          <t>Sin precio de mercado: precio objetivo</t>
        </is>
      </c>
      <c r="P17" t="inlineStr">
        <is>
          <t>Sin datos de mercado</t>
        </is>
      </c>
      <c r="Q17" t="inlineStr"/>
      <c r="R17" t="n">
        <v>4</v>
      </c>
      <c r="S17" t="inlineStr"/>
    </row>
    <row r="18">
      <c r="A18" t="inlineStr">
        <is>
          <t>GE</t>
        </is>
      </c>
      <c r="B18" t="inlineStr">
        <is>
          <t>AFPWF</t>
        </is>
      </c>
      <c r="C18" t="inlineStr"/>
      <c r="D18" s="2" t="n">
        <v>34</v>
      </c>
      <c r="E18" s="2">
        <f>D18*(1+Supuestos!$B$4)</f>
        <v/>
      </c>
      <c r="F18" s="2">
        <f>E18+Supuestos!$B$5</f>
        <v/>
      </c>
      <c r="G18" s="2">
        <f>ROUNDUP((F18+Supuestos!$B$3+Supuestos!$B$9)/(1-Supuestos!$B$2),0)-0.01</f>
        <v/>
      </c>
      <c r="H18" s="2">
        <f>ROUNDUP(MAX((F18+Supuestos!$B$3)/(1-Supuestos!$B$2-Supuestos!$B$8),(F18+Supuestos!$B$3+Supuestos!$B$7)/(1-Supuestos!$B$2)),0)-0.01</f>
        <v/>
      </c>
      <c r="I18" s="2" t="n"/>
      <c r="J18" s="3" t="n">
        <v>55.99</v>
      </c>
      <c r="K18" s="2">
        <f>J18-J18*Supuestos!$B$2-Supuestos!$B$3-F18</f>
        <v/>
      </c>
      <c r="L18" s="4">
        <f>K18/J18</f>
        <v/>
      </c>
      <c r="M18" s="2">
        <f>ROUNDUP(MAX(2*J18*0.92,(2*E18+Supuestos!$B$6+Supuestos!$B$3+8)/(1-Supuestos!$B$2)),0)-0.01</f>
        <v/>
      </c>
      <c r="N18" s="2">
        <f>M18-M18*Supuestos!$B$2-Supuestos!$B$3-2*E18-Supuestos!$B$6</f>
        <v/>
      </c>
      <c r="O18" t="inlineStr">
        <is>
          <t>Sin precio de mercado: precio objetivo</t>
        </is>
      </c>
      <c r="P18" t="inlineStr">
        <is>
          <t>Sin datos de mercado</t>
        </is>
      </c>
      <c r="Q18" t="inlineStr"/>
      <c r="R18" t="n">
        <v>2</v>
      </c>
      <c r="S18" t="inlineStr"/>
    </row>
    <row r="19">
      <c r="A19" t="inlineStr">
        <is>
          <t>GE</t>
        </is>
      </c>
      <c r="B19" t="inlineStr">
        <is>
          <t>FQ18MN</t>
        </is>
      </c>
      <c r="C19" t="inlineStr"/>
      <c r="D19" s="2" t="n">
        <v>78.28</v>
      </c>
      <c r="E19" s="2">
        <f>D19*(1+Supuestos!$B$4)</f>
        <v/>
      </c>
      <c r="F19" s="2">
        <f>E19+Supuestos!$B$5</f>
        <v/>
      </c>
      <c r="G19" s="2">
        <f>ROUNDUP((F19+Supuestos!$B$3+Supuestos!$B$9)/(1-Supuestos!$B$2),0)-0.01</f>
        <v/>
      </c>
      <c r="H19" s="2">
        <f>ROUNDUP(MAX((F19+Supuestos!$B$3)/(1-Supuestos!$B$2-Supuestos!$B$8),(F19+Supuestos!$B$3+Supuestos!$B$7)/(1-Supuestos!$B$2)),0)-0.01</f>
        <v/>
      </c>
      <c r="I19" s="2" t="n"/>
      <c r="J19" s="3" t="n">
        <v>116.99</v>
      </c>
      <c r="K19" s="2">
        <f>J19-J19*Supuestos!$B$2-Supuestos!$B$3-F19</f>
        <v/>
      </c>
      <c r="L19" s="4">
        <f>K19/J19</f>
        <v/>
      </c>
      <c r="M19" s="2">
        <f>ROUNDUP(MAX(2*J19*0.92,(2*E19+Supuestos!$B$6+Supuestos!$B$3+8)/(1-Supuestos!$B$2)),0)-0.01</f>
        <v/>
      </c>
      <c r="N19" s="2">
        <f>M19-M19*Supuestos!$B$2-Supuestos!$B$3-2*E19-Supuestos!$B$6</f>
        <v/>
      </c>
      <c r="O19" t="inlineStr">
        <is>
          <t>Sin precio de mercado: precio objetivo</t>
        </is>
      </c>
      <c r="P19" t="inlineStr">
        <is>
          <t>Sin datos de mercado</t>
        </is>
      </c>
      <c r="Q19" t="inlineStr"/>
      <c r="R19" t="n">
        <v>2</v>
      </c>
      <c r="S19" t="inlineStr"/>
    </row>
    <row r="20">
      <c r="A20" t="inlineStr">
        <is>
          <t>GE</t>
        </is>
      </c>
      <c r="B20" t="inlineStr">
        <is>
          <t>FQK1K</t>
        </is>
      </c>
      <c r="C20" t="inlineStr"/>
      <c r="D20" s="2" t="n">
        <v>36</v>
      </c>
      <c r="E20" s="2">
        <f>D20*(1+Supuestos!$B$4)</f>
        <v/>
      </c>
      <c r="F20" s="2">
        <f>E20+Supuestos!$B$5</f>
        <v/>
      </c>
      <c r="G20" s="2">
        <f>ROUNDUP((F20+Supuestos!$B$3+Supuestos!$B$9)/(1-Supuestos!$B$2),0)-0.01</f>
        <v/>
      </c>
      <c r="H20" s="2">
        <f>ROUNDUP(MAX((F20+Supuestos!$B$3)/(1-Supuestos!$B$2-Supuestos!$B$8),(F20+Supuestos!$B$3+Supuestos!$B$7)/(1-Supuestos!$B$2)),0)-0.01</f>
        <v/>
      </c>
      <c r="I20" s="2" t="n"/>
      <c r="J20" s="3" t="n">
        <v>58.99</v>
      </c>
      <c r="K20" s="2">
        <f>J20-J20*Supuestos!$B$2-Supuestos!$B$3-F20</f>
        <v/>
      </c>
      <c r="L20" s="4">
        <f>K20/J20</f>
        <v/>
      </c>
      <c r="M20" s="2">
        <f>ROUNDUP(MAX(2*J20*0.92,(2*E20+Supuestos!$B$6+Supuestos!$B$3+8)/(1-Supuestos!$B$2)),0)-0.01</f>
        <v/>
      </c>
      <c r="N20" s="2">
        <f>M20-M20*Supuestos!$B$2-Supuestos!$B$3-2*E20-Supuestos!$B$6</f>
        <v/>
      </c>
      <c r="O20" t="inlineStr">
        <is>
          <t>Sin precio de mercado: precio objetivo</t>
        </is>
      </c>
      <c r="P20" t="inlineStr">
        <is>
          <t>Sin datos de mercado</t>
        </is>
      </c>
      <c r="Q20" t="inlineStr"/>
      <c r="R20" t="n">
        <v>2</v>
      </c>
      <c r="S20" t="inlineStr"/>
    </row>
    <row r="21">
      <c r="A21" t="inlineStr">
        <is>
          <t>GE</t>
        </is>
      </c>
      <c r="B21" t="inlineStr">
        <is>
          <t>FQK2J</t>
        </is>
      </c>
      <c r="C21" t="inlineStr"/>
      <c r="D21" s="2" t="n">
        <v>59.15</v>
      </c>
      <c r="E21" s="2">
        <f>D21*(1+Supuestos!$B$4)</f>
        <v/>
      </c>
      <c r="F21" s="2">
        <f>E21+Supuestos!$B$5</f>
        <v/>
      </c>
      <c r="G21" s="2">
        <f>ROUNDUP((F21+Supuestos!$B$3+Supuestos!$B$9)/(1-Supuestos!$B$2),0)-0.01</f>
        <v/>
      </c>
      <c r="H21" s="2">
        <f>ROUNDUP(MAX((F21+Supuestos!$B$3)/(1-Supuestos!$B$2-Supuestos!$B$8),(F21+Supuestos!$B$3+Supuestos!$B$7)/(1-Supuestos!$B$2)),0)-0.01</f>
        <v/>
      </c>
      <c r="I21" s="2" t="n"/>
      <c r="J21" s="3" t="n">
        <v>90.98999999999999</v>
      </c>
      <c r="K21" s="2">
        <f>J21-J21*Supuestos!$B$2-Supuestos!$B$3-F21</f>
        <v/>
      </c>
      <c r="L21" s="4">
        <f>K21/J21</f>
        <v/>
      </c>
      <c r="M21" s="2">
        <f>ROUNDUP(MAX(2*J21*0.92,(2*E21+Supuestos!$B$6+Supuestos!$B$3+8)/(1-Supuestos!$B$2)),0)-0.01</f>
        <v/>
      </c>
      <c r="N21" s="2">
        <f>M21-M21*Supuestos!$B$2-Supuestos!$B$3-2*E21-Supuestos!$B$6</f>
        <v/>
      </c>
      <c r="O21" t="inlineStr">
        <is>
          <t>Sin precio de mercado: precio objetivo</t>
        </is>
      </c>
      <c r="P21" t="inlineStr">
        <is>
          <t>Sin datos de mercado</t>
        </is>
      </c>
      <c r="Q21" t="inlineStr"/>
      <c r="R21" t="n">
        <v>2</v>
      </c>
      <c r="S21" t="inlineStr"/>
    </row>
    <row r="22">
      <c r="A22" t="inlineStr">
        <is>
          <t>GE</t>
        </is>
      </c>
      <c r="B22" t="inlineStr">
        <is>
          <t>FQROPF</t>
        </is>
      </c>
      <c r="C22" t="inlineStr"/>
      <c r="D22" s="2" t="n">
        <v>60.91</v>
      </c>
      <c r="E22" s="2">
        <f>D22*(1+Supuestos!$B$4)</f>
        <v/>
      </c>
      <c r="F22" s="2">
        <f>E22+Supuestos!$B$5</f>
        <v/>
      </c>
      <c r="G22" s="2">
        <f>ROUNDUP((F22+Supuestos!$B$3+Supuestos!$B$9)/(1-Supuestos!$B$2),0)-0.01</f>
        <v/>
      </c>
      <c r="H22" s="2">
        <f>ROUNDUP(MAX((F22+Supuestos!$B$3)/(1-Supuestos!$B$2-Supuestos!$B$8),(F22+Supuestos!$B$3+Supuestos!$B$7)/(1-Supuestos!$B$2)),0)-0.01</f>
        <v/>
      </c>
      <c r="I22" s="2" t="n"/>
      <c r="J22" s="3" t="n">
        <v>92.98999999999999</v>
      </c>
      <c r="K22" s="2">
        <f>J22-J22*Supuestos!$B$2-Supuestos!$B$3-F22</f>
        <v/>
      </c>
      <c r="L22" s="4">
        <f>K22/J22</f>
        <v/>
      </c>
      <c r="M22" s="2">
        <f>ROUNDUP(MAX(2*J22*0.92,(2*E22+Supuestos!$B$6+Supuestos!$B$3+8)/(1-Supuestos!$B$2)),0)-0.01</f>
        <v/>
      </c>
      <c r="N22" s="2">
        <f>M22-M22*Supuestos!$B$2-Supuestos!$B$3-2*E22-Supuestos!$B$6</f>
        <v/>
      </c>
      <c r="O22" t="inlineStr">
        <is>
          <t>Sin precio de mercado: precio objetivo</t>
        </is>
      </c>
      <c r="P22" t="inlineStr">
        <is>
          <t>Sin datos de mercado</t>
        </is>
      </c>
      <c r="Q22" t="inlineStr"/>
      <c r="R22" t="n">
        <v>1</v>
      </c>
      <c r="S22" t="inlineStr"/>
    </row>
    <row r="23">
      <c r="A23" t="inlineStr">
        <is>
          <t>GE</t>
        </is>
      </c>
      <c r="B23" t="inlineStr">
        <is>
          <t>FQSVN</t>
        </is>
      </c>
      <c r="C23" t="inlineStr"/>
      <c r="D23" s="2" t="n">
        <v>43.4</v>
      </c>
      <c r="E23" s="2">
        <f>D23*(1+Supuestos!$B$4)</f>
        <v/>
      </c>
      <c r="F23" s="2">
        <f>E23+Supuestos!$B$5</f>
        <v/>
      </c>
      <c r="G23" s="2">
        <f>ROUNDUP((F23+Supuestos!$B$3+Supuestos!$B$9)/(1-Supuestos!$B$2),0)-0.01</f>
        <v/>
      </c>
      <c r="H23" s="2">
        <f>ROUNDUP(MAX((F23+Supuestos!$B$3)/(1-Supuestos!$B$2-Supuestos!$B$8),(F23+Supuestos!$B$3+Supuestos!$B$7)/(1-Supuestos!$B$2)),0)-0.01</f>
        <v/>
      </c>
      <c r="I23" s="2" t="n"/>
      <c r="J23" s="3" t="n">
        <v>68.98999999999999</v>
      </c>
      <c r="K23" s="2">
        <f>J23-J23*Supuestos!$B$2-Supuestos!$B$3-F23</f>
        <v/>
      </c>
      <c r="L23" s="4">
        <f>K23/J23</f>
        <v/>
      </c>
      <c r="M23" s="2">
        <f>ROUNDUP(MAX(2*J23*0.92,(2*E23+Supuestos!$B$6+Supuestos!$B$3+8)/(1-Supuestos!$B$2)),0)-0.01</f>
        <v/>
      </c>
      <c r="N23" s="2">
        <f>M23-M23*Supuestos!$B$2-Supuestos!$B$3-2*E23-Supuestos!$B$6</f>
        <v/>
      </c>
      <c r="O23" t="inlineStr">
        <is>
          <t>Sin precio de mercado: precio objetivo</t>
        </is>
      </c>
      <c r="P23" t="inlineStr">
        <is>
          <t>Sin datos de mercado</t>
        </is>
      </c>
      <c r="Q23" t="inlineStr"/>
      <c r="R23" t="n">
        <v>2</v>
      </c>
      <c r="S23" t="inlineStr"/>
    </row>
    <row r="24">
      <c r="A24" t="inlineStr">
        <is>
          <t>GE</t>
        </is>
      </c>
      <c r="B24" t="inlineStr">
        <is>
          <t>FTHLM</t>
        </is>
      </c>
      <c r="C24" t="inlineStr"/>
      <c r="D24" s="2" t="n">
        <v>60.46</v>
      </c>
      <c r="E24" s="2">
        <f>D24*(1+Supuestos!$B$4)</f>
        <v/>
      </c>
      <c r="F24" s="2">
        <f>E24+Supuestos!$B$5</f>
        <v/>
      </c>
      <c r="G24" s="2">
        <f>ROUNDUP((F24+Supuestos!$B$3+Supuestos!$B$9)/(1-Supuestos!$B$2),0)-0.01</f>
        <v/>
      </c>
      <c r="H24" s="2">
        <f>ROUNDUP(MAX((F24+Supuestos!$B$3)/(1-Supuestos!$B$2-Supuestos!$B$8),(F24+Supuestos!$B$3+Supuestos!$B$7)/(1-Supuestos!$B$2)),0)-0.01</f>
        <v/>
      </c>
      <c r="I24" s="2" t="n"/>
      <c r="J24" s="3" t="n">
        <v>91.98999999999999</v>
      </c>
      <c r="K24" s="2">
        <f>J24-J24*Supuestos!$B$2-Supuestos!$B$3-F24</f>
        <v/>
      </c>
      <c r="L24" s="4">
        <f>K24/J24</f>
        <v/>
      </c>
      <c r="M24" s="2">
        <f>ROUNDUP(MAX(2*J24*0.92,(2*E24+Supuestos!$B$6+Supuestos!$B$3+8)/(1-Supuestos!$B$2)),0)-0.01</f>
        <v/>
      </c>
      <c r="N24" s="2">
        <f>M24-M24*Supuestos!$B$2-Supuestos!$B$3-2*E24-Supuestos!$B$6</f>
        <v/>
      </c>
      <c r="O24" t="inlineStr">
        <is>
          <t>Sin precio de mercado: precio objetivo</t>
        </is>
      </c>
      <c r="P24" t="inlineStr">
        <is>
          <t>Sin datos de mercado</t>
        </is>
      </c>
      <c r="Q24" t="inlineStr"/>
      <c r="R24" t="n">
        <v>2</v>
      </c>
      <c r="S24" t="inlineStr"/>
    </row>
    <row r="25">
      <c r="A25" t="inlineStr">
        <is>
          <t>GE</t>
        </is>
      </c>
      <c r="B25" t="inlineStr">
        <is>
          <t>FTHTM</t>
        </is>
      </c>
      <c r="C25" t="inlineStr"/>
      <c r="D25" s="2" t="n">
        <v>30.97</v>
      </c>
      <c r="E25" s="2">
        <f>D25*(1+Supuestos!$B$4)</f>
        <v/>
      </c>
      <c r="F25" s="2">
        <f>E25+Supuestos!$B$5</f>
        <v/>
      </c>
      <c r="G25" s="2">
        <f>ROUNDUP((F25+Supuestos!$B$3+Supuestos!$B$9)/(1-Supuestos!$B$2),0)-0.01</f>
        <v/>
      </c>
      <c r="H25" s="2">
        <f>ROUNDUP(MAX((F25+Supuestos!$B$3)/(1-Supuestos!$B$2-Supuestos!$B$8),(F25+Supuestos!$B$3+Supuestos!$B$7)/(1-Supuestos!$B$2)),0)-0.01</f>
        <v/>
      </c>
      <c r="I25" s="2" t="n"/>
      <c r="J25" s="3" t="n">
        <v>51.99</v>
      </c>
      <c r="K25" s="2">
        <f>J25-J25*Supuestos!$B$2-Supuestos!$B$3-F25</f>
        <v/>
      </c>
      <c r="L25" s="4">
        <f>K25/J25</f>
        <v/>
      </c>
      <c r="M25" s="2">
        <f>ROUNDUP(MAX(2*J25*0.92,(2*E25+Supuestos!$B$6+Supuestos!$B$3+8)/(1-Supuestos!$B$2)),0)-0.01</f>
        <v/>
      </c>
      <c r="N25" s="2">
        <f>M25-M25*Supuestos!$B$2-Supuestos!$B$3-2*E25-Supuestos!$B$6</f>
        <v/>
      </c>
      <c r="O25" t="inlineStr">
        <is>
          <t>Sin precio de mercado: precio objetivo</t>
        </is>
      </c>
      <c r="P25" t="inlineStr">
        <is>
          <t>Sin datos de mercado</t>
        </is>
      </c>
      <c r="Q25" t="inlineStr"/>
      <c r="R25" t="n">
        <v>2</v>
      </c>
      <c r="S25" t="inlineStr"/>
    </row>
    <row r="26">
      <c r="A26" t="inlineStr">
        <is>
          <t>GE</t>
        </is>
      </c>
      <c r="B26" t="inlineStr">
        <is>
          <t>FX12M</t>
        </is>
      </c>
      <c r="C26" t="inlineStr"/>
      <c r="D26" s="2" t="n">
        <v>60.46</v>
      </c>
      <c r="E26" s="2">
        <f>D26*(1+Supuestos!$B$4)</f>
        <v/>
      </c>
      <c r="F26" s="2">
        <f>E26+Supuestos!$B$5</f>
        <v/>
      </c>
      <c r="G26" s="2">
        <f>ROUNDUP((F26+Supuestos!$B$3+Supuestos!$B$9)/(1-Supuestos!$B$2),0)-0.01</f>
        <v/>
      </c>
      <c r="H26" s="2">
        <f>ROUNDUP(MAX((F26+Supuestos!$B$3)/(1-Supuestos!$B$2-Supuestos!$B$8),(F26+Supuestos!$B$3+Supuestos!$B$7)/(1-Supuestos!$B$2)),0)-0.01</f>
        <v/>
      </c>
      <c r="I26" s="2" t="n"/>
      <c r="J26" s="3" t="n">
        <v>91.98999999999999</v>
      </c>
      <c r="K26" s="2">
        <f>J26-J26*Supuestos!$B$2-Supuestos!$B$3-F26</f>
        <v/>
      </c>
      <c r="L26" s="4">
        <f>K26/J26</f>
        <v/>
      </c>
      <c r="M26" s="2">
        <f>ROUNDUP(MAX(2*J26*0.92,(2*E26+Supuestos!$B$6+Supuestos!$B$3+8)/(1-Supuestos!$B$2)),0)-0.01</f>
        <v/>
      </c>
      <c r="N26" s="2">
        <f>M26-M26*Supuestos!$B$2-Supuestos!$B$3-2*E26-Supuestos!$B$6</f>
        <v/>
      </c>
      <c r="O26" t="inlineStr">
        <is>
          <t>Sin precio de mercado: precio objetivo</t>
        </is>
      </c>
      <c r="P26" t="inlineStr">
        <is>
          <t>Sin datos de mercado</t>
        </is>
      </c>
      <c r="Q26" t="inlineStr"/>
      <c r="R26" t="n">
        <v>2</v>
      </c>
      <c r="S26" t="inlineStr"/>
    </row>
    <row r="27">
      <c r="A27" t="inlineStr">
        <is>
          <t>GE</t>
        </is>
      </c>
      <c r="B27" t="inlineStr">
        <is>
          <t>FXHSC</t>
        </is>
      </c>
      <c r="C27" t="inlineStr"/>
      <c r="D27" s="2" t="n">
        <v>20.31</v>
      </c>
      <c r="E27" s="2">
        <f>D27*(1+Supuestos!$B$4)</f>
        <v/>
      </c>
      <c r="F27" s="2">
        <f>E27+Supuestos!$B$5</f>
        <v/>
      </c>
      <c r="G27" s="2">
        <f>ROUNDUP((F27+Supuestos!$B$3+Supuestos!$B$9)/(1-Supuestos!$B$2),0)-0.01</f>
        <v/>
      </c>
      <c r="H27" s="2">
        <f>ROUNDUP(MAX((F27+Supuestos!$B$3)/(1-Supuestos!$B$2-Supuestos!$B$8),(F27+Supuestos!$B$3+Supuestos!$B$7)/(1-Supuestos!$B$2)),0)-0.01</f>
        <v/>
      </c>
      <c r="I27" s="2" t="n"/>
      <c r="J27" s="3" t="n">
        <v>37.99</v>
      </c>
      <c r="K27" s="2">
        <f>J27-J27*Supuestos!$B$2-Supuestos!$B$3-F27</f>
        <v/>
      </c>
      <c r="L27" s="4">
        <f>K27/J27</f>
        <v/>
      </c>
      <c r="M27" s="2">
        <f>ROUNDUP(MAX(2*J27*0.92,(2*E27+Supuestos!$B$6+Supuestos!$B$3+8)/(1-Supuestos!$B$2)),0)-0.01</f>
        <v/>
      </c>
      <c r="N27" s="2">
        <f>M27-M27*Supuestos!$B$2-Supuestos!$B$3-2*E27-Supuestos!$B$6</f>
        <v/>
      </c>
      <c r="O27" t="inlineStr">
        <is>
          <t>Sin precio de mercado: precio objetivo</t>
        </is>
      </c>
      <c r="P27" t="inlineStr">
        <is>
          <t>Sin datos de mercado</t>
        </is>
      </c>
      <c r="Q27" t="inlineStr"/>
      <c r="R27" t="n">
        <v>1</v>
      </c>
      <c r="S27" t="inlineStr"/>
    </row>
    <row r="28">
      <c r="A28" t="inlineStr">
        <is>
          <t>GE</t>
        </is>
      </c>
      <c r="B28" t="inlineStr">
        <is>
          <t>FXHTC</t>
        </is>
      </c>
      <c r="C28" t="inlineStr"/>
      <c r="D28" s="2" t="n">
        <v>33.09</v>
      </c>
      <c r="E28" s="2">
        <f>D28*(1+Supuestos!$B$4)</f>
        <v/>
      </c>
      <c r="F28" s="2">
        <f>E28+Supuestos!$B$5</f>
        <v/>
      </c>
      <c r="G28" s="2">
        <f>ROUNDUP((F28+Supuestos!$B$3+Supuestos!$B$9)/(1-Supuestos!$B$2),0)-0.01</f>
        <v/>
      </c>
      <c r="H28" s="2">
        <f>ROUNDUP(MAX((F28+Supuestos!$B$3)/(1-Supuestos!$B$2-Supuestos!$B$8),(F28+Supuestos!$B$3+Supuestos!$B$7)/(1-Supuestos!$B$2)),0)-0.01</f>
        <v/>
      </c>
      <c r="I28" s="2" t="n"/>
      <c r="J28" s="3" t="n">
        <v>54.99</v>
      </c>
      <c r="K28" s="2">
        <f>J28-J28*Supuestos!$B$2-Supuestos!$B$3-F28</f>
        <v/>
      </c>
      <c r="L28" s="4">
        <f>K28/J28</f>
        <v/>
      </c>
      <c r="M28" s="2">
        <f>ROUNDUP(MAX(2*J28*0.92,(2*E28+Supuestos!$B$6+Supuestos!$B$3+8)/(1-Supuestos!$B$2)),0)-0.01</f>
        <v/>
      </c>
      <c r="N28" s="2">
        <f>M28-M28*Supuestos!$B$2-Supuestos!$B$3-2*E28-Supuestos!$B$6</f>
        <v/>
      </c>
      <c r="O28" t="inlineStr">
        <is>
          <t>Sin precio de mercado: precio objetivo</t>
        </is>
      </c>
      <c r="P28" t="inlineStr">
        <is>
          <t>Sin datos de mercado</t>
        </is>
      </c>
      <c r="Q28" t="inlineStr"/>
      <c r="R28" t="n">
        <v>2</v>
      </c>
      <c r="S28" t="inlineStr"/>
    </row>
    <row r="29">
      <c r="A29" t="inlineStr">
        <is>
          <t>GE</t>
        </is>
      </c>
      <c r="B29" t="inlineStr">
        <is>
          <t>FXULC</t>
        </is>
      </c>
      <c r="C29" t="inlineStr"/>
      <c r="D29" s="2" t="n">
        <v>31.93</v>
      </c>
      <c r="E29" s="2">
        <f>D29*(1+Supuestos!$B$4)</f>
        <v/>
      </c>
      <c r="F29" s="2">
        <f>E29+Supuestos!$B$5</f>
        <v/>
      </c>
      <c r="G29" s="2">
        <f>ROUNDUP((F29+Supuestos!$B$3+Supuestos!$B$9)/(1-Supuestos!$B$2),0)-0.01</f>
        <v/>
      </c>
      <c r="H29" s="2">
        <f>ROUNDUP(MAX((F29+Supuestos!$B$3)/(1-Supuestos!$B$2-Supuestos!$B$8),(F29+Supuestos!$B$3+Supuestos!$B$7)/(1-Supuestos!$B$2)),0)-0.01</f>
        <v/>
      </c>
      <c r="I29" s="2" t="n"/>
      <c r="J29" s="3" t="n">
        <v>53.99</v>
      </c>
      <c r="K29" s="2">
        <f>J29-J29*Supuestos!$B$2-Supuestos!$B$3-F29</f>
        <v/>
      </c>
      <c r="L29" s="4">
        <f>K29/J29</f>
        <v/>
      </c>
      <c r="M29" s="2">
        <f>ROUNDUP(MAX(2*J29*0.92,(2*E29+Supuestos!$B$6+Supuestos!$B$3+8)/(1-Supuestos!$B$2)),0)-0.01</f>
        <v/>
      </c>
      <c r="N29" s="2">
        <f>M29-M29*Supuestos!$B$2-Supuestos!$B$3-2*E29-Supuestos!$B$6</f>
        <v/>
      </c>
      <c r="O29" t="inlineStr">
        <is>
          <t>Sin precio de mercado: precio objetivo</t>
        </is>
      </c>
      <c r="P29" t="inlineStr">
        <is>
          <t>Sin datos de mercado</t>
        </is>
      </c>
      <c r="Q29" t="inlineStr"/>
      <c r="R29" t="n">
        <v>2</v>
      </c>
      <c r="S29" t="inlineStr"/>
    </row>
    <row r="30">
      <c r="A30" t="inlineStr">
        <is>
          <t>GE</t>
        </is>
      </c>
      <c r="B30" t="inlineStr">
        <is>
          <t>FXUTC</t>
        </is>
      </c>
      <c r="C30" t="inlineStr"/>
      <c r="D30" s="2" t="n">
        <v>13.5</v>
      </c>
      <c r="E30" s="2">
        <f>D30*(1+Supuestos!$B$4)</f>
        <v/>
      </c>
      <c r="F30" s="2">
        <f>E30+Supuestos!$B$5</f>
        <v/>
      </c>
      <c r="G30" s="2">
        <f>ROUNDUP((F30+Supuestos!$B$3+Supuestos!$B$9)/(1-Supuestos!$B$2),0)-0.01</f>
        <v/>
      </c>
      <c r="H30" s="2">
        <f>ROUNDUP(MAX((F30+Supuestos!$B$3)/(1-Supuestos!$B$2-Supuestos!$B$8),(F30+Supuestos!$B$3+Supuestos!$B$7)/(1-Supuestos!$B$2)),0)-0.01</f>
        <v/>
      </c>
      <c r="I30" s="2" t="n"/>
      <c r="J30" s="3" t="n">
        <v>30.99</v>
      </c>
      <c r="K30" s="2">
        <f>J30-J30*Supuestos!$B$2-Supuestos!$B$3-F30</f>
        <v/>
      </c>
      <c r="L30" s="4">
        <f>K30/J30</f>
        <v/>
      </c>
      <c r="M30" s="2">
        <f>ROUNDUP(MAX(2*J30*0.92,(2*E30+Supuestos!$B$6+Supuestos!$B$3+8)/(1-Supuestos!$B$2)),0)-0.01</f>
        <v/>
      </c>
      <c r="N30" s="2">
        <f>M30-M30*Supuestos!$B$2-Supuestos!$B$3-2*E30-Supuestos!$B$6</f>
        <v/>
      </c>
      <c r="O30" t="inlineStr">
        <is>
          <t>Sin precio de mercado: precio objetivo</t>
        </is>
      </c>
      <c r="P30" t="inlineStr">
        <is>
          <t>Sin datos de mercado</t>
        </is>
      </c>
      <c r="Q30" t="inlineStr"/>
      <c r="R30" t="n">
        <v>1</v>
      </c>
      <c r="S30" t="inlineStr"/>
    </row>
    <row r="31">
      <c r="A31" t="inlineStr">
        <is>
          <t>GE</t>
        </is>
      </c>
      <c r="B31" t="inlineStr">
        <is>
          <t>FXWPT</t>
        </is>
      </c>
      <c r="C31" t="inlineStr"/>
      <c r="D31" s="2" t="n">
        <v>22.08</v>
      </c>
      <c r="E31" s="2">
        <f>D31*(1+Supuestos!$B$4)</f>
        <v/>
      </c>
      <c r="F31" s="2">
        <f>E31+Supuestos!$B$5</f>
        <v/>
      </c>
      <c r="G31" s="2">
        <f>ROUNDUP((F31+Supuestos!$B$3+Supuestos!$B$9)/(1-Supuestos!$B$2),0)-0.01</f>
        <v/>
      </c>
      <c r="H31" s="2">
        <f>ROUNDUP(MAX((F31+Supuestos!$B$3)/(1-Supuestos!$B$2-Supuestos!$B$8),(F31+Supuestos!$B$3+Supuestos!$B$7)/(1-Supuestos!$B$2)),0)-0.01</f>
        <v/>
      </c>
      <c r="I31" s="2" t="n"/>
      <c r="J31" s="3" t="n">
        <v>39.99</v>
      </c>
      <c r="K31" s="2">
        <f>J31-J31*Supuestos!$B$2-Supuestos!$B$3-F31</f>
        <v/>
      </c>
      <c r="L31" s="4">
        <f>K31/J31</f>
        <v/>
      </c>
      <c r="M31" s="2">
        <f>ROUNDUP(MAX(2*J31*0.92,(2*E31+Supuestos!$B$6+Supuestos!$B$3+8)/(1-Supuestos!$B$2)),0)-0.01</f>
        <v/>
      </c>
      <c r="N31" s="2">
        <f>M31-M31*Supuestos!$B$2-Supuestos!$B$3-2*E31-Supuestos!$B$6</f>
        <v/>
      </c>
      <c r="O31" t="inlineStr">
        <is>
          <t>Sin precio de mercado: precio objetivo</t>
        </is>
      </c>
      <c r="P31" t="inlineStr">
        <is>
          <t>Sin datos de mercado</t>
        </is>
      </c>
      <c r="Q31" t="inlineStr"/>
      <c r="R31" t="n">
        <v>2</v>
      </c>
      <c r="S31" t="inlineStr"/>
    </row>
    <row r="32">
      <c r="A32" t="inlineStr">
        <is>
          <t>GE</t>
        </is>
      </c>
      <c r="B32" t="inlineStr">
        <is>
          <t>FXWTC</t>
        </is>
      </c>
      <c r="C32" t="inlineStr"/>
      <c r="D32" s="2" t="n">
        <v>14.56</v>
      </c>
      <c r="E32" s="2">
        <f>D32*(1+Supuestos!$B$4)</f>
        <v/>
      </c>
      <c r="F32" s="2">
        <f>E32+Supuestos!$B$5</f>
        <v/>
      </c>
      <c r="G32" s="2">
        <f>ROUNDUP((F32+Supuestos!$B$3+Supuestos!$B$9)/(1-Supuestos!$B$2),0)-0.01</f>
        <v/>
      </c>
      <c r="H32" s="2">
        <f>ROUNDUP(MAX((F32+Supuestos!$B$3)/(1-Supuestos!$B$2-Supuestos!$B$8),(F32+Supuestos!$B$3+Supuestos!$B$7)/(1-Supuestos!$B$2)),0)-0.01</f>
        <v/>
      </c>
      <c r="I32" s="2" t="n"/>
      <c r="J32" s="3" t="n">
        <v>31.99</v>
      </c>
      <c r="K32" s="2">
        <f>J32-J32*Supuestos!$B$2-Supuestos!$B$3-F32</f>
        <v/>
      </c>
      <c r="L32" s="4">
        <f>K32/J32</f>
        <v/>
      </c>
      <c r="M32" s="2">
        <f>ROUNDUP(MAX(2*J32*0.92,(2*E32+Supuestos!$B$6+Supuestos!$B$3+8)/(1-Supuestos!$B$2)),0)-0.01</f>
        <v/>
      </c>
      <c r="N32" s="2">
        <f>M32-M32*Supuestos!$B$2-Supuestos!$B$3-2*E32-Supuestos!$B$6</f>
        <v/>
      </c>
      <c r="O32" t="inlineStr">
        <is>
          <t>Sin precio de mercado: precio objetivo</t>
        </is>
      </c>
      <c r="P32" t="inlineStr">
        <is>
          <t>Sin datos de mercado</t>
        </is>
      </c>
      <c r="Q32" t="inlineStr"/>
      <c r="R32" t="n">
        <v>2</v>
      </c>
      <c r="S32" t="inlineStr"/>
    </row>
    <row r="33">
      <c r="A33" t="inlineStr">
        <is>
          <t>GE</t>
        </is>
      </c>
      <c r="B33" t="inlineStr">
        <is>
          <t>GSWF</t>
        </is>
      </c>
      <c r="C33" t="inlineStr"/>
      <c r="D33" s="2" t="n">
        <v>40</v>
      </c>
      <c r="E33" s="2">
        <f>D33*(1+Supuestos!$B$4)</f>
        <v/>
      </c>
      <c r="F33" s="2">
        <f>E33+Supuestos!$B$5</f>
        <v/>
      </c>
      <c r="G33" s="2">
        <f>ROUNDUP((F33+Supuestos!$B$3+Supuestos!$B$9)/(1-Supuestos!$B$2),0)-0.01</f>
        <v/>
      </c>
      <c r="H33" s="2">
        <f>ROUNDUP(MAX((F33+Supuestos!$B$3)/(1-Supuestos!$B$2-Supuestos!$B$8),(F33+Supuestos!$B$3+Supuestos!$B$7)/(1-Supuestos!$B$2)),0)-0.01</f>
        <v/>
      </c>
      <c r="I33" s="2" t="n"/>
      <c r="J33" s="3" t="n">
        <v>64.98999999999999</v>
      </c>
      <c r="K33" s="2">
        <f>J33-J33*Supuestos!$B$2-Supuestos!$B$3-F33</f>
        <v/>
      </c>
      <c r="L33" s="4">
        <f>K33/J33</f>
        <v/>
      </c>
      <c r="M33" s="2">
        <f>ROUNDUP(MAX(2*J33*0.92,(2*E33+Supuestos!$B$6+Supuestos!$B$3+8)/(1-Supuestos!$B$2)),0)-0.01</f>
        <v/>
      </c>
      <c r="N33" s="2">
        <f>M33-M33*Supuestos!$B$2-Supuestos!$B$3-2*E33-Supuestos!$B$6</f>
        <v/>
      </c>
      <c r="O33" t="inlineStr">
        <is>
          <t>Sin precio de mercado: precio objetivo</t>
        </is>
      </c>
      <c r="P33" t="inlineStr">
        <is>
          <t>Sin datos de mercado</t>
        </is>
      </c>
      <c r="Q33" t="inlineStr"/>
      <c r="R33" t="n">
        <v>4</v>
      </c>
      <c r="S33" t="inlineStr"/>
    </row>
    <row r="34">
      <c r="A34" t="inlineStr">
        <is>
          <t>GE</t>
        </is>
      </c>
      <c r="B34" t="inlineStr">
        <is>
          <t>GXRTDR</t>
        </is>
      </c>
      <c r="C34" t="inlineStr"/>
      <c r="D34" s="2" t="n">
        <v>15.84</v>
      </c>
      <c r="E34" s="2">
        <f>D34*(1+Supuestos!$B$4)</f>
        <v/>
      </c>
      <c r="F34" s="2">
        <f>E34+Supuestos!$B$5</f>
        <v/>
      </c>
      <c r="G34" s="2">
        <f>ROUNDUP((F34+Supuestos!$B$3+Supuestos!$B$9)/(1-Supuestos!$B$2),0)-0.01</f>
        <v/>
      </c>
      <c r="H34" s="2">
        <f>ROUNDUP(MAX((F34+Supuestos!$B$3)/(1-Supuestos!$B$2-Supuestos!$B$8),(F34+Supuestos!$B$3+Supuestos!$B$7)/(1-Supuestos!$B$2)),0)-0.01</f>
        <v/>
      </c>
      <c r="I34" s="2" t="n"/>
      <c r="J34" s="3" t="n">
        <v>32.99</v>
      </c>
      <c r="K34" s="2">
        <f>J34-J34*Supuestos!$B$2-Supuestos!$B$3-F34</f>
        <v/>
      </c>
      <c r="L34" s="4">
        <f>K34/J34</f>
        <v/>
      </c>
      <c r="M34" s="2">
        <f>ROUNDUP(MAX(2*J34*0.92,(2*E34+Supuestos!$B$6+Supuestos!$B$3+8)/(1-Supuestos!$B$2)),0)-0.01</f>
        <v/>
      </c>
      <c r="N34" s="2">
        <f>M34-M34*Supuestos!$B$2-Supuestos!$B$3-2*E34-Supuestos!$B$6</f>
        <v/>
      </c>
      <c r="O34" t="inlineStr">
        <is>
          <t>Sin precio de mercado: precio objetivo</t>
        </is>
      </c>
      <c r="P34" t="inlineStr">
        <is>
          <t>Sin datos de mercado</t>
        </is>
      </c>
      <c r="Q34" t="inlineStr"/>
      <c r="R34" t="n">
        <v>2</v>
      </c>
      <c r="S34" t="inlineStr"/>
    </row>
    <row r="35">
      <c r="A35" t="inlineStr">
        <is>
          <t>GE</t>
        </is>
      </c>
      <c r="B35" t="inlineStr">
        <is>
          <t>GXRTLL</t>
        </is>
      </c>
      <c r="C35" t="inlineStr"/>
      <c r="D35" s="2" t="n">
        <v>21.05</v>
      </c>
      <c r="E35" s="2">
        <f>D35*(1+Supuestos!$B$4)</f>
        <v/>
      </c>
      <c r="F35" s="2">
        <f>E35+Supuestos!$B$5</f>
        <v/>
      </c>
      <c r="G35" s="2">
        <f>ROUNDUP((F35+Supuestos!$B$3+Supuestos!$B$9)/(1-Supuestos!$B$2),0)-0.01</f>
        <v/>
      </c>
      <c r="H35" s="2">
        <f>ROUNDUP(MAX((F35+Supuestos!$B$3)/(1-Supuestos!$B$2-Supuestos!$B$8),(F35+Supuestos!$B$3+Supuestos!$B$7)/(1-Supuestos!$B$2)),0)-0.01</f>
        <v/>
      </c>
      <c r="I35" s="2" t="n"/>
      <c r="J35" s="3" t="n">
        <v>38.99</v>
      </c>
      <c r="K35" s="2">
        <f>J35-J35*Supuestos!$B$2-Supuestos!$B$3-F35</f>
        <v/>
      </c>
      <c r="L35" s="4">
        <f>K35/J35</f>
        <v/>
      </c>
      <c r="M35" s="2">
        <f>ROUNDUP(MAX(2*J35*0.92,(2*E35+Supuestos!$B$6+Supuestos!$B$3+8)/(1-Supuestos!$B$2)),0)-0.01</f>
        <v/>
      </c>
      <c r="N35" s="2">
        <f>M35-M35*Supuestos!$B$2-Supuestos!$B$3-2*E35-Supuestos!$B$6</f>
        <v/>
      </c>
      <c r="O35" t="inlineStr">
        <is>
          <t>Sin precio de mercado: precio objetivo</t>
        </is>
      </c>
      <c r="P35" t="inlineStr">
        <is>
          <t>Sin datos de mercado</t>
        </is>
      </c>
      <c r="Q35" t="inlineStr"/>
      <c r="R35" t="n">
        <v>2</v>
      </c>
      <c r="S35" t="inlineStr"/>
    </row>
    <row r="36">
      <c r="A36" t="inlineStr">
        <is>
          <t>GE</t>
        </is>
      </c>
      <c r="B36" t="inlineStr">
        <is>
          <t>GXULQR / FQK1R</t>
        </is>
      </c>
      <c r="C36" t="inlineStr"/>
      <c r="D36" s="2" t="n">
        <v>38.56</v>
      </c>
      <c r="E36" s="2">
        <f>D36*(1+Supuestos!$B$4)</f>
        <v/>
      </c>
      <c r="F36" s="2">
        <f>E36+Supuestos!$B$5</f>
        <v/>
      </c>
      <c r="G36" s="2">
        <f>ROUNDUP((F36+Supuestos!$B$3+Supuestos!$B$9)/(1-Supuestos!$B$2),0)-0.01</f>
        <v/>
      </c>
      <c r="H36" s="2">
        <f>ROUNDUP(MAX((F36+Supuestos!$B$3)/(1-Supuestos!$B$2-Supuestos!$B$8),(F36+Supuestos!$B$3+Supuestos!$B$7)/(1-Supuestos!$B$2)),0)-0.01</f>
        <v/>
      </c>
      <c r="I36" s="2" t="n"/>
      <c r="J36" s="3" t="n">
        <v>62.99</v>
      </c>
      <c r="K36" s="2">
        <f>J36-J36*Supuestos!$B$2-Supuestos!$B$3-F36</f>
        <v/>
      </c>
      <c r="L36" s="4">
        <f>K36/J36</f>
        <v/>
      </c>
      <c r="M36" s="2">
        <f>ROUNDUP(MAX(2*J36*0.92,(2*E36+Supuestos!$B$6+Supuestos!$B$3+8)/(1-Supuestos!$B$2)),0)-0.01</f>
        <v/>
      </c>
      <c r="N36" s="2">
        <f>M36-M36*Supuestos!$B$2-Supuestos!$B$3-2*E36-Supuestos!$B$6</f>
        <v/>
      </c>
      <c r="O36" t="inlineStr">
        <is>
          <t>Sin precio de mercado: precio objetivo</t>
        </is>
      </c>
      <c r="P36" t="inlineStr">
        <is>
          <t>Sin datos de mercado</t>
        </is>
      </c>
      <c r="Q36" t="inlineStr"/>
      <c r="R36" t="n">
        <v>2</v>
      </c>
      <c r="S36" t="inlineStr"/>
    </row>
    <row r="37">
      <c r="A37" t="inlineStr">
        <is>
          <t>GE</t>
        </is>
      </c>
      <c r="B37" t="inlineStr">
        <is>
          <t>GXWH20T</t>
        </is>
      </c>
      <c r="C37" t="inlineStr"/>
      <c r="D37" s="2" t="n">
        <v>36.34</v>
      </c>
      <c r="E37" s="2">
        <f>D37*(1+Supuestos!$B$4)</f>
        <v/>
      </c>
      <c r="F37" s="2">
        <f>E37+Supuestos!$B$5</f>
        <v/>
      </c>
      <c r="G37" s="2">
        <f>ROUNDUP((F37+Supuestos!$B$3+Supuestos!$B$9)/(1-Supuestos!$B$2),0)-0.01</f>
        <v/>
      </c>
      <c r="H37" s="2">
        <f>ROUNDUP(MAX((F37+Supuestos!$B$3)/(1-Supuestos!$B$2-Supuestos!$B$8),(F37+Supuestos!$B$3+Supuestos!$B$7)/(1-Supuestos!$B$2)),0)-0.01</f>
        <v/>
      </c>
      <c r="I37" s="2" t="n"/>
      <c r="J37" s="3" t="n">
        <v>59.99</v>
      </c>
      <c r="K37" s="2">
        <f>J37-J37*Supuestos!$B$2-Supuestos!$B$3-F37</f>
        <v/>
      </c>
      <c r="L37" s="4">
        <f>K37/J37</f>
        <v/>
      </c>
      <c r="M37" s="2">
        <f>ROUNDUP(MAX(2*J37*0.92,(2*E37+Supuestos!$B$6+Supuestos!$B$3+8)/(1-Supuestos!$B$2)),0)-0.01</f>
        <v/>
      </c>
      <c r="N37" s="2">
        <f>M37-M37*Supuestos!$B$2-Supuestos!$B$3-2*E37-Supuestos!$B$6</f>
        <v/>
      </c>
      <c r="O37" t="inlineStr">
        <is>
          <t>Sin precio de mercado: precio objetivo</t>
        </is>
      </c>
      <c r="P37" t="inlineStr">
        <is>
          <t>Sin datos de mercado</t>
        </is>
      </c>
      <c r="Q37" t="inlineStr"/>
      <c r="R37" t="n">
        <v>2</v>
      </c>
      <c r="S37" t="inlineStr"/>
    </row>
    <row r="38">
      <c r="A38" t="inlineStr">
        <is>
          <t>GE</t>
        </is>
      </c>
      <c r="B38" t="inlineStr">
        <is>
          <t>GXWH40L</t>
        </is>
      </c>
      <c r="C38" t="inlineStr"/>
      <c r="D38" s="2" t="n">
        <v>73.56</v>
      </c>
      <c r="E38" s="2">
        <f>D38*(1+Supuestos!$B$4)</f>
        <v/>
      </c>
      <c r="F38" s="2">
        <f>E38+Supuestos!$B$5</f>
        <v/>
      </c>
      <c r="G38" s="2">
        <f>ROUNDUP((F38+Supuestos!$B$3+Supuestos!$B$9)/(1-Supuestos!$B$2),0)-0.01</f>
        <v/>
      </c>
      <c r="H38" s="2">
        <f>ROUNDUP(MAX((F38+Supuestos!$B$3)/(1-Supuestos!$B$2-Supuestos!$B$8),(F38+Supuestos!$B$3+Supuestos!$B$7)/(1-Supuestos!$B$2)),0)-0.01</f>
        <v/>
      </c>
      <c r="I38" s="2" t="n"/>
      <c r="J38" s="3" t="n">
        <v>109.99</v>
      </c>
      <c r="K38" s="2">
        <f>J38-J38*Supuestos!$B$2-Supuestos!$B$3-F38</f>
        <v/>
      </c>
      <c r="L38" s="4">
        <f>K38/J38</f>
        <v/>
      </c>
      <c r="M38" s="2">
        <f>ROUNDUP(MAX(2*J38*0.92,(2*E38+Supuestos!$B$6+Supuestos!$B$3+8)/(1-Supuestos!$B$2)),0)-0.01</f>
        <v/>
      </c>
      <c r="N38" s="2">
        <f>M38-M38*Supuestos!$B$2-Supuestos!$B$3-2*E38-Supuestos!$B$6</f>
        <v/>
      </c>
      <c r="O38" t="inlineStr">
        <is>
          <t>Sin precio de mercado: precio objetivo</t>
        </is>
      </c>
      <c r="P38" t="inlineStr">
        <is>
          <t>Sin datos de mercado</t>
        </is>
      </c>
      <c r="Q38" t="inlineStr"/>
      <c r="R38" t="n">
        <v>2</v>
      </c>
      <c r="S38" t="inlineStr"/>
    </row>
    <row r="39">
      <c r="A39" t="inlineStr">
        <is>
          <t>GE</t>
        </is>
      </c>
      <c r="B39" t="inlineStr">
        <is>
          <t>GXWH70M</t>
        </is>
      </c>
      <c r="C39" t="inlineStr"/>
      <c r="D39" s="2" t="n">
        <v>198.73</v>
      </c>
      <c r="E39" s="2">
        <f>D39*(1+Supuestos!$B$4)</f>
        <v/>
      </c>
      <c r="F39" s="2">
        <f>E39+Supuestos!$B$5</f>
        <v/>
      </c>
      <c r="G39" s="2">
        <f>ROUNDUP((F39+Supuestos!$B$3+Supuestos!$B$9)/(1-Supuestos!$B$2),0)-0.01</f>
        <v/>
      </c>
      <c r="H39" s="2">
        <f>ROUNDUP(MAX((F39+Supuestos!$B$3)/(1-Supuestos!$B$2-Supuestos!$B$8),(F39+Supuestos!$B$3+Supuestos!$B$7)/(1-Supuestos!$B$2)),0)-0.01</f>
        <v/>
      </c>
      <c r="I39" s="2" t="n"/>
      <c r="J39" s="3" t="n">
        <v>279.99</v>
      </c>
      <c r="K39" s="2">
        <f>J39-J39*Supuestos!$B$2-Supuestos!$B$3-F39</f>
        <v/>
      </c>
      <c r="L39" s="4">
        <f>K39/J39</f>
        <v/>
      </c>
      <c r="M39" s="2">
        <f>ROUNDUP(MAX(2*J39*0.92,(2*E39+Supuestos!$B$6+Supuestos!$B$3+8)/(1-Supuestos!$B$2)),0)-0.01</f>
        <v/>
      </c>
      <c r="N39" s="2">
        <f>M39-M39*Supuestos!$B$2-Supuestos!$B$3-2*E39-Supuestos!$B$6</f>
        <v/>
      </c>
      <c r="O39" t="inlineStr">
        <is>
          <t>Sin precio de mercado: precio objetivo</t>
        </is>
      </c>
      <c r="P39" t="inlineStr">
        <is>
          <t>Sin datos de mercado</t>
        </is>
      </c>
      <c r="Q39" t="inlineStr"/>
      <c r="R39" t="n">
        <v>2</v>
      </c>
      <c r="S39" t="inlineStr"/>
    </row>
    <row r="40">
      <c r="A40" t="inlineStr">
        <is>
          <t>GE</t>
        </is>
      </c>
      <c r="B40" t="inlineStr">
        <is>
          <t>MSWF</t>
        </is>
      </c>
      <c r="C40" t="inlineStr"/>
      <c r="D40" s="2" t="n">
        <v>38</v>
      </c>
      <c r="E40" s="2">
        <f>D40*(1+Supuestos!$B$4)</f>
        <v/>
      </c>
      <c r="F40" s="2">
        <f>E40+Supuestos!$B$5</f>
        <v/>
      </c>
      <c r="G40" s="2">
        <f>ROUNDUP((F40+Supuestos!$B$3+Supuestos!$B$9)/(1-Supuestos!$B$2),0)-0.01</f>
        <v/>
      </c>
      <c r="H40" s="2">
        <f>ROUNDUP(MAX((F40+Supuestos!$B$3)/(1-Supuestos!$B$2-Supuestos!$B$8),(F40+Supuestos!$B$3+Supuestos!$B$7)/(1-Supuestos!$B$2)),0)-0.01</f>
        <v/>
      </c>
      <c r="I40" s="2" t="n"/>
      <c r="J40" s="3" t="n">
        <v>61.99</v>
      </c>
      <c r="K40" s="2">
        <f>J40-J40*Supuestos!$B$2-Supuestos!$B$3-F40</f>
        <v/>
      </c>
      <c r="L40" s="4">
        <f>K40/J40</f>
        <v/>
      </c>
      <c r="M40" s="2">
        <f>ROUNDUP(MAX(2*J40*0.92,(2*E40+Supuestos!$B$6+Supuestos!$B$3+8)/(1-Supuestos!$B$2)),0)-0.01</f>
        <v/>
      </c>
      <c r="N40" s="2">
        <f>M40-M40*Supuestos!$B$2-Supuestos!$B$3-2*E40-Supuestos!$B$6</f>
        <v/>
      </c>
      <c r="O40" t="inlineStr">
        <is>
          <t>Sin precio de mercado: precio objetivo</t>
        </is>
      </c>
      <c r="P40" t="inlineStr">
        <is>
          <t>Sin datos de mercado</t>
        </is>
      </c>
      <c r="Q40" t="inlineStr"/>
      <c r="R40" t="n">
        <v>4</v>
      </c>
      <c r="S40" t="inlineStr"/>
    </row>
    <row r="41">
      <c r="A41" t="inlineStr">
        <is>
          <t>GE</t>
        </is>
      </c>
      <c r="B41" t="inlineStr">
        <is>
          <t>MXRC</t>
        </is>
      </c>
      <c r="C41" t="inlineStr"/>
      <c r="D41" s="2" t="n">
        <v>41.5</v>
      </c>
      <c r="E41" s="2">
        <f>D41*(1+Supuestos!$B$4)</f>
        <v/>
      </c>
      <c r="F41" s="2">
        <f>E41+Supuestos!$B$5</f>
        <v/>
      </c>
      <c r="G41" s="2">
        <f>ROUNDUP((F41+Supuestos!$B$3+Supuestos!$B$9)/(1-Supuestos!$B$2),0)-0.01</f>
        <v/>
      </c>
      <c r="H41" s="2">
        <f>ROUNDUP(MAX((F41+Supuestos!$B$3)/(1-Supuestos!$B$2-Supuestos!$B$8),(F41+Supuestos!$B$3+Supuestos!$B$7)/(1-Supuestos!$B$2)),0)-0.01</f>
        <v/>
      </c>
      <c r="I41" s="2" t="n"/>
      <c r="J41" s="3" t="n">
        <v>66.98999999999999</v>
      </c>
      <c r="K41" s="2">
        <f>J41-J41*Supuestos!$B$2-Supuestos!$B$3-F41</f>
        <v/>
      </c>
      <c r="L41" s="4">
        <f>K41/J41</f>
        <v/>
      </c>
      <c r="M41" s="2">
        <f>ROUNDUP(MAX(2*J41*0.92,(2*E41+Supuestos!$B$6+Supuestos!$B$3+8)/(1-Supuestos!$B$2)),0)-0.01</f>
        <v/>
      </c>
      <c r="N41" s="2">
        <f>M41-M41*Supuestos!$B$2-Supuestos!$B$3-2*E41-Supuestos!$B$6</f>
        <v/>
      </c>
      <c r="O41" t="inlineStr">
        <is>
          <t>Sin precio de mercado: precio objetivo</t>
        </is>
      </c>
      <c r="P41" t="inlineStr">
        <is>
          <t>Sin datos de mercado</t>
        </is>
      </c>
      <c r="Q41" t="inlineStr"/>
      <c r="R41" t="n">
        <v>4</v>
      </c>
      <c r="S41" t="inlineStr"/>
    </row>
    <row r="42">
      <c r="A42" t="inlineStr">
        <is>
          <t>Frigidaire</t>
        </is>
      </c>
      <c r="B42" t="inlineStr">
        <is>
          <t>ULTRAWF</t>
        </is>
      </c>
      <c r="C42" t="inlineStr"/>
      <c r="D42" s="2" t="n">
        <v>39.5</v>
      </c>
      <c r="E42" s="2">
        <f>D42*(1+Supuestos!$B$4)</f>
        <v/>
      </c>
      <c r="F42" s="2">
        <f>E42+Supuestos!$B$5</f>
        <v/>
      </c>
      <c r="G42" s="2">
        <f>ROUNDUP((F42+Supuestos!$B$3+Supuestos!$B$9)/(1-Supuestos!$B$2),0)-0.01</f>
        <v/>
      </c>
      <c r="H42" s="2">
        <f>ROUNDUP(MAX((F42+Supuestos!$B$3)/(1-Supuestos!$B$2-Supuestos!$B$8),(F42+Supuestos!$B$3+Supuestos!$B$7)/(1-Supuestos!$B$2)),0)-0.01</f>
        <v/>
      </c>
      <c r="I42" s="2" t="n"/>
      <c r="J42" s="3" t="n">
        <v>63.99</v>
      </c>
      <c r="K42" s="2">
        <f>J42-J42*Supuestos!$B$2-Supuestos!$B$3-F42</f>
        <v/>
      </c>
      <c r="L42" s="4">
        <f>K42/J42</f>
        <v/>
      </c>
      <c r="M42" s="2">
        <f>ROUNDUP(MAX(2*J42*0.92,(2*E42+Supuestos!$B$6+Supuestos!$B$3+8)/(1-Supuestos!$B$2)),0)-0.01</f>
        <v/>
      </c>
      <c r="N42" s="2">
        <f>M42-M42*Supuestos!$B$2-Supuestos!$B$3-2*E42-Supuestos!$B$6</f>
        <v/>
      </c>
      <c r="O42" t="inlineStr">
        <is>
          <t>Sin precio de mercado: precio objetivo</t>
        </is>
      </c>
      <c r="P42" t="inlineStr">
        <is>
          <t>Sin datos de mercado</t>
        </is>
      </c>
      <c r="Q42" t="inlineStr"/>
      <c r="R42" t="n">
        <v>6</v>
      </c>
      <c r="S42" t="inlineStr"/>
    </row>
    <row r="43">
      <c r="A43" t="inlineStr">
        <is>
          <t>Frigidaire</t>
        </is>
      </c>
      <c r="B43" t="inlineStr">
        <is>
          <t>EPTWFU01</t>
        </is>
      </c>
      <c r="C43" t="inlineStr"/>
      <c r="D43" s="2" t="n">
        <v>45.7</v>
      </c>
      <c r="E43" s="2">
        <f>D43*(1+Supuestos!$B$4)</f>
        <v/>
      </c>
      <c r="F43" s="2">
        <f>E43+Supuestos!$B$5</f>
        <v/>
      </c>
      <c r="G43" s="2">
        <f>ROUNDUP((F43+Supuestos!$B$3+Supuestos!$B$9)/(1-Supuestos!$B$2),0)-0.01</f>
        <v/>
      </c>
      <c r="H43" s="2">
        <f>ROUNDUP(MAX((F43+Supuestos!$B$3)/(1-Supuestos!$B$2-Supuestos!$B$8),(F43+Supuestos!$B$3+Supuestos!$B$7)/(1-Supuestos!$B$2)),0)-0.01</f>
        <v/>
      </c>
      <c r="I43" s="2" t="n"/>
      <c r="J43" s="3" t="n">
        <v>71.98999999999999</v>
      </c>
      <c r="K43" s="2">
        <f>J43-J43*Supuestos!$B$2-Supuestos!$B$3-F43</f>
        <v/>
      </c>
      <c r="L43" s="4">
        <f>K43/J43</f>
        <v/>
      </c>
      <c r="M43" s="2">
        <f>ROUNDUP(MAX(2*J43*0.92,(2*E43+Supuestos!$B$6+Supuestos!$B$3+8)/(1-Supuestos!$B$2)),0)-0.01</f>
        <v/>
      </c>
      <c r="N43" s="2">
        <f>M43-M43*Supuestos!$B$2-Supuestos!$B$3-2*E43-Supuestos!$B$6</f>
        <v/>
      </c>
      <c r="O43" t="inlineStr">
        <is>
          <t>Sin precio de mercado: precio objetivo</t>
        </is>
      </c>
      <c r="P43" t="inlineStr">
        <is>
          <t>Sin datos de mercado</t>
        </is>
      </c>
      <c r="Q43" t="inlineStr"/>
      <c r="R43" t="n">
        <v>6</v>
      </c>
      <c r="S43" t="inlineStr"/>
    </row>
    <row r="44">
      <c r="A44" t="inlineStr">
        <is>
          <t>Frigidaire</t>
        </is>
      </c>
      <c r="B44" t="inlineStr">
        <is>
          <t>FPPWFU01</t>
        </is>
      </c>
      <c r="C44" t="inlineStr"/>
      <c r="D44" s="2" t="n">
        <v>39</v>
      </c>
      <c r="E44" s="2">
        <f>D44*(1+Supuestos!$B$4)</f>
        <v/>
      </c>
      <c r="F44" s="2">
        <f>E44+Supuestos!$B$5</f>
        <v/>
      </c>
      <c r="G44" s="2">
        <f>ROUNDUP((F44+Supuestos!$B$3+Supuestos!$B$9)/(1-Supuestos!$B$2),0)-0.01</f>
        <v/>
      </c>
      <c r="H44" s="2">
        <f>ROUNDUP(MAX((F44+Supuestos!$B$3)/(1-Supuestos!$B$2-Supuestos!$B$8),(F44+Supuestos!$B$3+Supuestos!$B$7)/(1-Supuestos!$B$2)),0)-0.01</f>
        <v/>
      </c>
      <c r="I44" s="2" t="n"/>
      <c r="J44" s="3" t="n">
        <v>62.99</v>
      </c>
      <c r="K44" s="2">
        <f>J44-J44*Supuestos!$B$2-Supuestos!$B$3-F44</f>
        <v/>
      </c>
      <c r="L44" s="4">
        <f>K44/J44</f>
        <v/>
      </c>
      <c r="M44" s="2">
        <f>ROUNDUP(MAX(2*J44*0.92,(2*E44+Supuestos!$B$6+Supuestos!$B$3+8)/(1-Supuestos!$B$2)),0)-0.01</f>
        <v/>
      </c>
      <c r="N44" s="2">
        <f>M44-M44*Supuestos!$B$2-Supuestos!$B$3-2*E44-Supuestos!$B$6</f>
        <v/>
      </c>
      <c r="O44" t="inlineStr">
        <is>
          <t>Sin precio de mercado: precio objetivo</t>
        </is>
      </c>
      <c r="P44" t="inlineStr">
        <is>
          <t>Sin datos de mercado</t>
        </is>
      </c>
      <c r="Q44" t="inlineStr"/>
      <c r="R44" t="n">
        <v>6</v>
      </c>
      <c r="S44" t="inlineStr"/>
    </row>
    <row r="45">
      <c r="A45" t="inlineStr">
        <is>
          <t>Frigidaire</t>
        </is>
      </c>
      <c r="B45" t="inlineStr">
        <is>
          <t>FPPWFU02</t>
        </is>
      </c>
      <c r="C45" t="inlineStr"/>
      <c r="D45" s="2" t="n">
        <v>42.5</v>
      </c>
      <c r="E45" s="2">
        <f>D45*(1+Supuestos!$B$4)</f>
        <v/>
      </c>
      <c r="F45" s="2">
        <f>E45+Supuestos!$B$5</f>
        <v/>
      </c>
      <c r="G45" s="2">
        <f>ROUNDUP((F45+Supuestos!$B$3+Supuestos!$B$9)/(1-Supuestos!$B$2),0)-0.01</f>
        <v/>
      </c>
      <c r="H45" s="2">
        <f>ROUNDUP(MAX((F45+Supuestos!$B$3)/(1-Supuestos!$B$2-Supuestos!$B$8),(F45+Supuestos!$B$3+Supuestos!$B$7)/(1-Supuestos!$B$2)),0)-0.01</f>
        <v/>
      </c>
      <c r="I45" s="2" t="n"/>
      <c r="J45" s="3" t="n">
        <v>67.98999999999999</v>
      </c>
      <c r="K45" s="2">
        <f>J45-J45*Supuestos!$B$2-Supuestos!$B$3-F45</f>
        <v/>
      </c>
      <c r="L45" s="4">
        <f>K45/J45</f>
        <v/>
      </c>
      <c r="M45" s="2">
        <f>ROUNDUP(MAX(2*J45*0.92,(2*E45+Supuestos!$B$6+Supuestos!$B$3+8)/(1-Supuestos!$B$2)),0)-0.01</f>
        <v/>
      </c>
      <c r="N45" s="2">
        <f>M45-M45*Supuestos!$B$2-Supuestos!$B$3-2*E45-Supuestos!$B$6</f>
        <v/>
      </c>
      <c r="O45" t="inlineStr">
        <is>
          <t>Sin precio de mercado: precio objetivo</t>
        </is>
      </c>
      <c r="P45" t="inlineStr">
        <is>
          <t>Sin datos de mercado</t>
        </is>
      </c>
      <c r="Q45" t="inlineStr"/>
      <c r="R45" t="n">
        <v>6</v>
      </c>
      <c r="S45" t="inlineStr"/>
    </row>
    <row r="46">
      <c r="A46" t="inlineStr">
        <is>
          <t>Frigidaire</t>
        </is>
      </c>
      <c r="B46" t="inlineStr">
        <is>
          <t>WF2CB</t>
        </is>
      </c>
      <c r="C46" t="inlineStr"/>
      <c r="D46" s="2" t="n">
        <v>36</v>
      </c>
      <c r="E46" s="2">
        <f>D46*(1+Supuestos!$B$4)</f>
        <v/>
      </c>
      <c r="F46" s="2">
        <f>E46+Supuestos!$B$5</f>
        <v/>
      </c>
      <c r="G46" s="2">
        <f>ROUNDUP((F46+Supuestos!$B$3+Supuestos!$B$9)/(1-Supuestos!$B$2),0)-0.01</f>
        <v/>
      </c>
      <c r="H46" s="2">
        <f>ROUNDUP(MAX((F46+Supuestos!$B$3)/(1-Supuestos!$B$2-Supuestos!$B$8),(F46+Supuestos!$B$3+Supuestos!$B$7)/(1-Supuestos!$B$2)),0)-0.01</f>
        <v/>
      </c>
      <c r="I46" s="2" t="n"/>
      <c r="J46" s="3" t="n">
        <v>58.99</v>
      </c>
      <c r="K46" s="2">
        <f>J46-J46*Supuestos!$B$2-Supuestos!$B$3-F46</f>
        <v/>
      </c>
      <c r="L46" s="4">
        <f>K46/J46</f>
        <v/>
      </c>
      <c r="M46" s="2">
        <f>ROUNDUP(MAX(2*J46*0.92,(2*E46+Supuestos!$B$6+Supuestos!$B$3+8)/(1-Supuestos!$B$2)),0)-0.01</f>
        <v/>
      </c>
      <c r="N46" s="2">
        <f>M46-M46*Supuestos!$B$2-Supuestos!$B$3-2*E46-Supuestos!$B$6</f>
        <v/>
      </c>
      <c r="O46" t="inlineStr">
        <is>
          <t>Sin precio de mercado: precio objetivo</t>
        </is>
      </c>
      <c r="P46" t="inlineStr">
        <is>
          <t>Sin datos de mercado</t>
        </is>
      </c>
      <c r="Q46" t="inlineStr"/>
      <c r="R46" t="n">
        <v>12</v>
      </c>
      <c r="S46" t="inlineStr"/>
    </row>
    <row r="47">
      <c r="A47" t="inlineStr">
        <is>
          <t>Frigidaire</t>
        </is>
      </c>
      <c r="B47" t="inlineStr">
        <is>
          <t>WF3CB</t>
        </is>
      </c>
      <c r="C47" t="inlineStr"/>
      <c r="D47" s="2" t="n">
        <v>38</v>
      </c>
      <c r="E47" s="2">
        <f>D47*(1+Supuestos!$B$4)</f>
        <v/>
      </c>
      <c r="F47" s="2">
        <f>E47+Supuestos!$B$5</f>
        <v/>
      </c>
      <c r="G47" s="2">
        <f>ROUNDUP((F47+Supuestos!$B$3+Supuestos!$B$9)/(1-Supuestos!$B$2),0)-0.01</f>
        <v/>
      </c>
      <c r="H47" s="2">
        <f>ROUNDUP(MAX((F47+Supuestos!$B$3)/(1-Supuestos!$B$2-Supuestos!$B$8),(F47+Supuestos!$B$3+Supuestos!$B$7)/(1-Supuestos!$B$2)),0)-0.01</f>
        <v/>
      </c>
      <c r="I47" s="2" t="n"/>
      <c r="J47" s="3" t="n">
        <v>61.99</v>
      </c>
      <c r="K47" s="2">
        <f>J47-J47*Supuestos!$B$2-Supuestos!$B$3-F47</f>
        <v/>
      </c>
      <c r="L47" s="4">
        <f>K47/J47</f>
        <v/>
      </c>
      <c r="M47" s="2">
        <f>ROUNDUP(MAX(2*J47*0.92,(2*E47+Supuestos!$B$6+Supuestos!$B$3+8)/(1-Supuestos!$B$2)),0)-0.01</f>
        <v/>
      </c>
      <c r="N47" s="2">
        <f>M47-M47*Supuestos!$B$2-Supuestos!$B$3-2*E47-Supuestos!$B$6</f>
        <v/>
      </c>
      <c r="O47" t="inlineStr">
        <is>
          <t>Sin precio de mercado: precio objetivo</t>
        </is>
      </c>
      <c r="P47" t="inlineStr">
        <is>
          <t>Sin datos de mercado</t>
        </is>
      </c>
      <c r="Q47" t="inlineStr"/>
      <c r="R47" t="n">
        <v>12</v>
      </c>
      <c r="S47" t="inlineStr"/>
    </row>
    <row r="48">
      <c r="A48" t="inlineStr">
        <is>
          <t>Frigidaire</t>
        </is>
      </c>
      <c r="B48" t="inlineStr">
        <is>
          <t>WFCB</t>
        </is>
      </c>
      <c r="C48" t="inlineStr"/>
      <c r="D48" s="2" t="n">
        <v>30.6</v>
      </c>
      <c r="E48" s="2">
        <f>D48*(1+Supuestos!$B$4)</f>
        <v/>
      </c>
      <c r="F48" s="2">
        <f>E48+Supuestos!$B$5</f>
        <v/>
      </c>
      <c r="G48" s="2">
        <f>ROUNDUP((F48+Supuestos!$B$3+Supuestos!$B$9)/(1-Supuestos!$B$2),0)-0.01</f>
        <v/>
      </c>
      <c r="H48" s="2">
        <f>ROUNDUP(MAX((F48+Supuestos!$B$3)/(1-Supuestos!$B$2-Supuestos!$B$8),(F48+Supuestos!$B$3+Supuestos!$B$7)/(1-Supuestos!$B$2)),0)-0.01</f>
        <v/>
      </c>
      <c r="I48" s="2" t="n"/>
      <c r="J48" s="3" t="n">
        <v>51.99</v>
      </c>
      <c r="K48" s="2">
        <f>J48-J48*Supuestos!$B$2-Supuestos!$B$3-F48</f>
        <v/>
      </c>
      <c r="L48" s="4">
        <f>K48/J48</f>
        <v/>
      </c>
      <c r="M48" s="2">
        <f>ROUNDUP(MAX(2*J48*0.92,(2*E48+Supuestos!$B$6+Supuestos!$B$3+8)/(1-Supuestos!$B$2)),0)-0.01</f>
        <v/>
      </c>
      <c r="N48" s="2">
        <f>M48-M48*Supuestos!$B$2-Supuestos!$B$3-2*E48-Supuestos!$B$6</f>
        <v/>
      </c>
      <c r="O48" t="inlineStr">
        <is>
          <t>Sin precio de mercado: precio objetivo</t>
        </is>
      </c>
      <c r="P48" t="inlineStr">
        <is>
          <t>Sin datos de mercado</t>
        </is>
      </c>
      <c r="Q48" t="inlineStr"/>
      <c r="R48" t="n">
        <v>12</v>
      </c>
      <c r="S48" t="inlineStr"/>
    </row>
    <row r="49">
      <c r="A49" t="inlineStr">
        <is>
          <t>Frigidaire</t>
        </is>
      </c>
      <c r="B49" t="inlineStr">
        <is>
          <t>PAULTRA</t>
        </is>
      </c>
      <c r="C49" t="inlineStr"/>
      <c r="D49" s="2" t="n">
        <v>14</v>
      </c>
      <c r="E49" s="2">
        <f>D49*(1+Supuestos!$B$4)</f>
        <v/>
      </c>
      <c r="F49" s="2">
        <f>E49+Supuestos!$B$5</f>
        <v/>
      </c>
      <c r="G49" s="2">
        <f>ROUNDUP((F49+Supuestos!$B$3+Supuestos!$B$9)/(1-Supuestos!$B$2),0)-0.01</f>
        <v/>
      </c>
      <c r="H49" s="2">
        <f>ROUNDUP(MAX((F49+Supuestos!$B$3)/(1-Supuestos!$B$2-Supuestos!$B$8),(F49+Supuestos!$B$3+Supuestos!$B$7)/(1-Supuestos!$B$2)),0)-0.01</f>
        <v/>
      </c>
      <c r="I49" s="2" t="n"/>
      <c r="J49" s="3" t="n">
        <v>30.99</v>
      </c>
      <c r="K49" s="2">
        <f>J49-J49*Supuestos!$B$2-Supuestos!$B$3-F49</f>
        <v/>
      </c>
      <c r="L49" s="4">
        <f>K49/J49</f>
        <v/>
      </c>
      <c r="M49" s="2">
        <f>ROUNDUP(MAX(2*J49*0.92,(2*E49+Supuestos!$B$6+Supuestos!$B$3+8)/(1-Supuestos!$B$2)),0)-0.01</f>
        <v/>
      </c>
      <c r="N49" s="2">
        <f>M49-M49*Supuestos!$B$2-Supuestos!$B$3-2*E49-Supuestos!$B$6</f>
        <v/>
      </c>
      <c r="O49" t="inlineStr">
        <is>
          <t>Sin precio de mercado: precio objetivo</t>
        </is>
      </c>
      <c r="P49" t="inlineStr">
        <is>
          <t>Sin datos de mercado</t>
        </is>
      </c>
      <c r="Q49" t="inlineStr"/>
      <c r="R49" t="n">
        <v>6</v>
      </c>
      <c r="S49" t="inlineStr"/>
    </row>
    <row r="50">
      <c r="A50" t="inlineStr">
        <is>
          <t>Frigidaire</t>
        </is>
      </c>
      <c r="B50" t="inlineStr">
        <is>
          <t>PAULTRA2</t>
        </is>
      </c>
      <c r="C50" t="inlineStr"/>
      <c r="D50" s="2" t="n">
        <v>14</v>
      </c>
      <c r="E50" s="2">
        <f>D50*(1+Supuestos!$B$4)</f>
        <v/>
      </c>
      <c r="F50" s="2">
        <f>E50+Supuestos!$B$5</f>
        <v/>
      </c>
      <c r="G50" s="2">
        <f>ROUNDUP((F50+Supuestos!$B$3+Supuestos!$B$9)/(1-Supuestos!$B$2),0)-0.01</f>
        <v/>
      </c>
      <c r="H50" s="2">
        <f>ROUNDUP(MAX((F50+Supuestos!$B$3)/(1-Supuestos!$B$2-Supuestos!$B$8),(F50+Supuestos!$B$3+Supuestos!$B$7)/(1-Supuestos!$B$2)),0)-0.01</f>
        <v/>
      </c>
      <c r="I50" s="2" t="n"/>
      <c r="J50" s="3" t="n">
        <v>30.99</v>
      </c>
      <c r="K50" s="2">
        <f>J50-J50*Supuestos!$B$2-Supuestos!$B$3-F50</f>
        <v/>
      </c>
      <c r="L50" s="4">
        <f>K50/J50</f>
        <v/>
      </c>
      <c r="M50" s="2">
        <f>ROUNDUP(MAX(2*J50*0.92,(2*E50+Supuestos!$B$6+Supuestos!$B$3+8)/(1-Supuestos!$B$2)),0)-0.01</f>
        <v/>
      </c>
      <c r="N50" s="2">
        <f>M50-M50*Supuestos!$B$2-Supuestos!$B$3-2*E50-Supuestos!$B$6</f>
        <v/>
      </c>
      <c r="O50" t="inlineStr">
        <is>
          <t>Sin precio de mercado: precio objetivo</t>
        </is>
      </c>
      <c r="P50" t="inlineStr">
        <is>
          <t>Sin datos de mercado</t>
        </is>
      </c>
      <c r="Q50" t="inlineStr"/>
      <c r="R50" t="n">
        <v>6</v>
      </c>
      <c r="S50" t="inlineStr"/>
    </row>
    <row r="51">
      <c r="A51" t="inlineStr">
        <is>
          <t>Frigidaire</t>
        </is>
      </c>
      <c r="B51" t="inlineStr">
        <is>
          <t>PAULTRA2PK</t>
        </is>
      </c>
      <c r="C51" t="inlineStr"/>
      <c r="D51" s="2" t="n">
        <v>22.47</v>
      </c>
      <c r="E51" s="2">
        <f>D51*(1+Supuestos!$B$4)</f>
        <v/>
      </c>
      <c r="F51" s="2">
        <f>E51+Supuestos!$B$5</f>
        <v/>
      </c>
      <c r="G51" s="2">
        <f>ROUNDUP((F51+Supuestos!$B$3+Supuestos!$B$9)/(1-Supuestos!$B$2),0)-0.01</f>
        <v/>
      </c>
      <c r="H51" s="2">
        <f>ROUNDUP(MAX((F51+Supuestos!$B$3)/(1-Supuestos!$B$2-Supuestos!$B$8),(F51+Supuestos!$B$3+Supuestos!$B$7)/(1-Supuestos!$B$2)),0)-0.01</f>
        <v/>
      </c>
      <c r="I51" s="2" t="n"/>
      <c r="J51" s="3" t="n">
        <v>40.99</v>
      </c>
      <c r="K51" s="2">
        <f>J51-J51*Supuestos!$B$2-Supuestos!$B$3-F51</f>
        <v/>
      </c>
      <c r="L51" s="4">
        <f>K51/J51</f>
        <v/>
      </c>
      <c r="M51" s="2">
        <f>ROUNDUP(MAX(2*J51*0.92,(2*E51+Supuestos!$B$6+Supuestos!$B$3+8)/(1-Supuestos!$B$2)),0)-0.01</f>
        <v/>
      </c>
      <c r="N51" s="2">
        <f>M51-M51*Supuestos!$B$2-Supuestos!$B$3-2*E51-Supuestos!$B$6</f>
        <v/>
      </c>
      <c r="O51" t="inlineStr">
        <is>
          <t>Sin precio de mercado: precio objetivo</t>
        </is>
      </c>
      <c r="P51" t="inlineStr">
        <is>
          <t>Sin datos de mercado</t>
        </is>
      </c>
      <c r="Q51" t="inlineStr"/>
      <c r="S51" t="inlineStr"/>
    </row>
    <row r="52">
      <c r="A52" t="inlineStr">
        <is>
          <t>Frigidaire</t>
        </is>
      </c>
      <c r="B52" t="inlineStr">
        <is>
          <t>PAULTRA4PK</t>
        </is>
      </c>
      <c r="C52" t="inlineStr"/>
      <c r="D52" s="2" t="n">
        <v>35.67</v>
      </c>
      <c r="E52" s="2">
        <f>D52*(1+Supuestos!$B$4)</f>
        <v/>
      </c>
      <c r="F52" s="2">
        <f>E52+Supuestos!$B$5</f>
        <v/>
      </c>
      <c r="G52" s="2">
        <f>ROUNDUP((F52+Supuestos!$B$3+Supuestos!$B$9)/(1-Supuestos!$B$2),0)-0.01</f>
        <v/>
      </c>
      <c r="H52" s="2">
        <f>ROUNDUP(MAX((F52+Supuestos!$B$3)/(1-Supuestos!$B$2-Supuestos!$B$8),(F52+Supuestos!$B$3+Supuestos!$B$7)/(1-Supuestos!$B$2)),0)-0.01</f>
        <v/>
      </c>
      <c r="I52" s="2" t="n"/>
      <c r="J52" s="3" t="n">
        <v>58.99</v>
      </c>
      <c r="K52" s="2">
        <f>J52-J52*Supuestos!$B$2-Supuestos!$B$3-F52</f>
        <v/>
      </c>
      <c r="L52" s="4">
        <f>K52/J52</f>
        <v/>
      </c>
      <c r="M52" s="2">
        <f>ROUNDUP(MAX(2*J52*0.92,(2*E52+Supuestos!$B$6+Supuestos!$B$3+8)/(1-Supuestos!$B$2)),0)-0.01</f>
        <v/>
      </c>
      <c r="N52" s="2">
        <f>M52-M52*Supuestos!$B$2-Supuestos!$B$3-2*E52-Supuestos!$B$6</f>
        <v/>
      </c>
      <c r="O52" t="inlineStr">
        <is>
          <t>Sin precio de mercado: precio objetivo</t>
        </is>
      </c>
      <c r="P52" t="inlineStr">
        <is>
          <t>Sin datos de mercado</t>
        </is>
      </c>
      <c r="Q52" t="inlineStr"/>
      <c r="S52" t="inlineStr"/>
    </row>
    <row r="53">
      <c r="A53" t="inlineStr">
        <is>
          <t>Frigidaire</t>
        </is>
      </c>
      <c r="B53" t="inlineStr">
        <is>
          <t>PAULTRAII2PK</t>
        </is>
      </c>
      <c r="C53" t="inlineStr"/>
      <c r="D53" s="2" t="n">
        <v>22.48</v>
      </c>
      <c r="E53" s="2">
        <f>D53*(1+Supuestos!$B$4)</f>
        <v/>
      </c>
      <c r="F53" s="2">
        <f>E53+Supuestos!$B$5</f>
        <v/>
      </c>
      <c r="G53" s="2">
        <f>ROUNDUP((F53+Supuestos!$B$3+Supuestos!$B$9)/(1-Supuestos!$B$2),0)-0.01</f>
        <v/>
      </c>
      <c r="H53" s="2">
        <f>ROUNDUP(MAX((F53+Supuestos!$B$3)/(1-Supuestos!$B$2-Supuestos!$B$8),(F53+Supuestos!$B$3+Supuestos!$B$7)/(1-Supuestos!$B$2)),0)-0.01</f>
        <v/>
      </c>
      <c r="I53" s="2" t="n"/>
      <c r="J53" s="3" t="n">
        <v>40.99</v>
      </c>
      <c r="K53" s="2">
        <f>J53-J53*Supuestos!$B$2-Supuestos!$B$3-F53</f>
        <v/>
      </c>
      <c r="L53" s="4">
        <f>K53/J53</f>
        <v/>
      </c>
      <c r="M53" s="2">
        <f>ROUNDUP(MAX(2*J53*0.92,(2*E53+Supuestos!$B$6+Supuestos!$B$3+8)/(1-Supuestos!$B$2)),0)-0.01</f>
        <v/>
      </c>
      <c r="N53" s="2">
        <f>M53-M53*Supuestos!$B$2-Supuestos!$B$3-2*E53-Supuestos!$B$6</f>
        <v/>
      </c>
      <c r="O53" t="inlineStr">
        <is>
          <t>Sin precio de mercado: precio objetivo</t>
        </is>
      </c>
      <c r="P53" t="inlineStr">
        <is>
          <t>Sin datos de mercado</t>
        </is>
      </c>
      <c r="Q53" t="inlineStr"/>
      <c r="S53" t="inlineStr"/>
    </row>
    <row r="54">
      <c r="A54" t="inlineStr">
        <is>
          <t>Frigidaire</t>
        </is>
      </c>
      <c r="B54" t="inlineStr">
        <is>
          <t>AFCB</t>
        </is>
      </c>
      <c r="C54" t="inlineStr"/>
      <c r="D54" s="2" t="n">
        <v>12.65</v>
      </c>
      <c r="E54" s="2">
        <f>D54*(1+Supuestos!$B$4)</f>
        <v/>
      </c>
      <c r="F54" s="2">
        <f>E54+Supuestos!$B$5</f>
        <v/>
      </c>
      <c r="G54" s="2">
        <f>ROUNDUP((F54+Supuestos!$B$3+Supuestos!$B$9)/(1-Supuestos!$B$2),0)-0.01</f>
        <v/>
      </c>
      <c r="H54" s="2">
        <f>ROUNDUP(MAX((F54+Supuestos!$B$3)/(1-Supuestos!$B$2-Supuestos!$B$8),(F54+Supuestos!$B$3+Supuestos!$B$7)/(1-Supuestos!$B$2)),0)-0.01</f>
        <v/>
      </c>
      <c r="I54" s="2" t="n"/>
      <c r="J54" s="3" t="n">
        <v>29.99</v>
      </c>
      <c r="K54" s="2">
        <f>J54-J54*Supuestos!$B$2-Supuestos!$B$3-F54</f>
        <v/>
      </c>
      <c r="L54" s="4">
        <f>K54/J54</f>
        <v/>
      </c>
      <c r="M54" s="2">
        <f>ROUNDUP(MAX(2*J54*0.92,(2*E54+Supuestos!$B$6+Supuestos!$B$3+8)/(1-Supuestos!$B$2)),0)-0.01</f>
        <v/>
      </c>
      <c r="N54" s="2">
        <f>M54-M54*Supuestos!$B$2-Supuestos!$B$3-2*E54-Supuestos!$B$6</f>
        <v/>
      </c>
      <c r="O54" t="inlineStr">
        <is>
          <t>Sin precio de mercado: precio objetivo</t>
        </is>
      </c>
      <c r="P54" t="inlineStr">
        <is>
          <t>Sin datos de mercado</t>
        </is>
      </c>
      <c r="Q54" t="inlineStr"/>
      <c r="S54" t="inlineStr"/>
    </row>
    <row r="55">
      <c r="A55" t="inlineStr">
        <is>
          <t>Frigidaire</t>
        </is>
      </c>
      <c r="B55" t="inlineStr">
        <is>
          <t>TMFRGPAAF1KT</t>
        </is>
      </c>
      <c r="C55" t="inlineStr"/>
      <c r="D55" s="2" t="n">
        <v>16.23</v>
      </c>
      <c r="E55" s="2">
        <f>D55*(1+Supuestos!$B$4)</f>
        <v/>
      </c>
      <c r="F55" s="2">
        <f>E55+Supuestos!$B$5</f>
        <v/>
      </c>
      <c r="G55" s="2">
        <f>ROUNDUP((F55+Supuestos!$B$3+Supuestos!$B$9)/(1-Supuestos!$B$2),0)-0.01</f>
        <v/>
      </c>
      <c r="H55" s="2">
        <f>ROUNDUP(MAX((F55+Supuestos!$B$3)/(1-Supuestos!$B$2-Supuestos!$B$8),(F55+Supuestos!$B$3+Supuestos!$B$7)/(1-Supuestos!$B$2)),0)-0.01</f>
        <v/>
      </c>
      <c r="I55" s="2" t="n"/>
      <c r="J55" s="3" t="n">
        <v>33.99</v>
      </c>
      <c r="K55" s="2">
        <f>J55-J55*Supuestos!$B$2-Supuestos!$B$3-F55</f>
        <v/>
      </c>
      <c r="L55" s="4">
        <f>K55/J55</f>
        <v/>
      </c>
      <c r="M55" s="2">
        <f>ROUNDUP(MAX(2*J55*0.92,(2*E55+Supuestos!$B$6+Supuestos!$B$3+8)/(1-Supuestos!$B$2)),0)-0.01</f>
        <v/>
      </c>
      <c r="N55" s="2">
        <f>M55-M55*Supuestos!$B$2-Supuestos!$B$3-2*E55-Supuestos!$B$6</f>
        <v/>
      </c>
      <c r="O55" t="inlineStr">
        <is>
          <t>Sin precio de mercado: precio objetivo</t>
        </is>
      </c>
      <c r="P55" t="inlineStr">
        <is>
          <t>Sin datos de mercado</t>
        </is>
      </c>
      <c r="Q55" t="inlineStr"/>
      <c r="S55" t="inlineStr"/>
    </row>
    <row r="56">
      <c r="A56" t="inlineStr">
        <is>
          <t>Frigidaire</t>
        </is>
      </c>
      <c r="B56" t="inlineStr">
        <is>
          <t>FRGPAAF1</t>
        </is>
      </c>
      <c r="C56" t="inlineStr"/>
      <c r="D56" s="2" t="n">
        <v>14.68</v>
      </c>
      <c r="E56" s="2">
        <f>D56*(1+Supuestos!$B$4)</f>
        <v/>
      </c>
      <c r="F56" s="2">
        <f>E56+Supuestos!$B$5</f>
        <v/>
      </c>
      <c r="G56" s="2">
        <f>ROUNDUP((F56+Supuestos!$B$3+Supuestos!$B$9)/(1-Supuestos!$B$2),0)-0.01</f>
        <v/>
      </c>
      <c r="H56" s="2">
        <f>ROUNDUP(MAX((F56+Supuestos!$B$3)/(1-Supuestos!$B$2-Supuestos!$B$8),(F56+Supuestos!$B$3+Supuestos!$B$7)/(1-Supuestos!$B$2)),0)-0.01</f>
        <v/>
      </c>
      <c r="I56" s="2" t="n"/>
      <c r="J56" s="3" t="n">
        <v>31.99</v>
      </c>
      <c r="K56" s="2">
        <f>J56-J56*Supuestos!$B$2-Supuestos!$B$3-F56</f>
        <v/>
      </c>
      <c r="L56" s="4">
        <f>K56/J56</f>
        <v/>
      </c>
      <c r="M56" s="2">
        <f>ROUNDUP(MAX(2*J56*0.92,(2*E56+Supuestos!$B$6+Supuestos!$B$3+8)/(1-Supuestos!$B$2)),0)-0.01</f>
        <v/>
      </c>
      <c r="N56" s="2">
        <f>M56-M56*Supuestos!$B$2-Supuestos!$B$3-2*E56-Supuestos!$B$6</f>
        <v/>
      </c>
      <c r="O56" t="inlineStr">
        <is>
          <t>Sin precio de mercado: precio objetivo</t>
        </is>
      </c>
      <c r="P56" t="inlineStr">
        <is>
          <t>Sin datos de mercado</t>
        </is>
      </c>
      <c r="Q56" t="inlineStr"/>
      <c r="R56" t="n">
        <v>6</v>
      </c>
      <c r="S56" t="inlineStr"/>
    </row>
    <row r="57">
      <c r="A57" t="inlineStr">
        <is>
          <t>Frigidaire</t>
        </is>
      </c>
      <c r="B57" t="inlineStr">
        <is>
          <t>FRGPAAF2</t>
        </is>
      </c>
      <c r="C57" t="inlineStr"/>
      <c r="D57" s="2" t="n">
        <v>15.02</v>
      </c>
      <c r="E57" s="2">
        <f>D57*(1+Supuestos!$B$4)</f>
        <v/>
      </c>
      <c r="F57" s="2">
        <f>E57+Supuestos!$B$5</f>
        <v/>
      </c>
      <c r="G57" s="2">
        <f>ROUNDUP((F57+Supuestos!$B$3+Supuestos!$B$9)/(1-Supuestos!$B$2),0)-0.01</f>
        <v/>
      </c>
      <c r="H57" s="2">
        <f>ROUNDUP(MAX((F57+Supuestos!$B$3)/(1-Supuestos!$B$2-Supuestos!$B$8),(F57+Supuestos!$B$3+Supuestos!$B$7)/(1-Supuestos!$B$2)),0)-0.01</f>
        <v/>
      </c>
      <c r="I57" s="2" t="n"/>
      <c r="J57" s="3" t="n">
        <v>31.99</v>
      </c>
      <c r="K57" s="2">
        <f>J57-J57*Supuestos!$B$2-Supuestos!$B$3-F57</f>
        <v/>
      </c>
      <c r="L57" s="4">
        <f>K57/J57</f>
        <v/>
      </c>
      <c r="M57" s="2">
        <f>ROUNDUP(MAX(2*J57*0.92,(2*E57+Supuestos!$B$6+Supuestos!$B$3+8)/(1-Supuestos!$B$2)),0)-0.01</f>
        <v/>
      </c>
      <c r="N57" s="2">
        <f>M57-M57*Supuestos!$B$2-Supuestos!$B$3-2*E57-Supuestos!$B$6</f>
        <v/>
      </c>
      <c r="O57" t="inlineStr">
        <is>
          <t>Sin precio de mercado: precio objetivo</t>
        </is>
      </c>
      <c r="P57" t="inlineStr">
        <is>
          <t>Sin datos de mercado</t>
        </is>
      </c>
      <c r="Q57" t="inlineStr"/>
      <c r="R57" t="n">
        <v>6</v>
      </c>
      <c r="S57" t="inlineStr"/>
    </row>
    <row r="58">
      <c r="A58" t="inlineStr">
        <is>
          <t>Frigidaire</t>
        </is>
      </c>
      <c r="B58" t="inlineStr">
        <is>
          <t>FRGPAAF12PK</t>
        </is>
      </c>
      <c r="C58" t="inlineStr"/>
      <c r="D58" s="2" t="n">
        <v>29.35</v>
      </c>
      <c r="E58" s="2">
        <f>D58*(1+Supuestos!$B$4)</f>
        <v/>
      </c>
      <c r="F58" s="2">
        <f>E58+Supuestos!$B$5</f>
        <v/>
      </c>
      <c r="G58" s="2">
        <f>ROUNDUP((F58+Supuestos!$B$3+Supuestos!$B$9)/(1-Supuestos!$B$2),0)-0.01</f>
        <v/>
      </c>
      <c r="H58" s="2">
        <f>ROUNDUP(MAX((F58+Supuestos!$B$3)/(1-Supuestos!$B$2-Supuestos!$B$8),(F58+Supuestos!$B$3+Supuestos!$B$7)/(1-Supuestos!$B$2)),0)-0.01</f>
        <v/>
      </c>
      <c r="I58" s="2" t="n"/>
      <c r="J58" s="3" t="n">
        <v>49.99</v>
      </c>
      <c r="K58" s="2">
        <f>J58-J58*Supuestos!$B$2-Supuestos!$B$3-F58</f>
        <v/>
      </c>
      <c r="L58" s="4">
        <f>K58/J58</f>
        <v/>
      </c>
      <c r="M58" s="2">
        <f>ROUNDUP(MAX(2*J58*0.92,(2*E58+Supuestos!$B$6+Supuestos!$B$3+8)/(1-Supuestos!$B$2)),0)-0.01</f>
        <v/>
      </c>
      <c r="N58" s="2">
        <f>M58-M58*Supuestos!$B$2-Supuestos!$B$3-2*E58-Supuestos!$B$6</f>
        <v/>
      </c>
      <c r="O58" t="inlineStr">
        <is>
          <t>Sin precio de mercado: precio objetivo</t>
        </is>
      </c>
      <c r="P58" t="inlineStr">
        <is>
          <t>Sin datos de mercado</t>
        </is>
      </c>
      <c r="Q58" t="inlineStr"/>
      <c r="S58" t="inlineStr"/>
    </row>
    <row r="59">
      <c r="A59" t="inlineStr">
        <is>
          <t>Frigidaire</t>
        </is>
      </c>
      <c r="B59" t="inlineStr">
        <is>
          <t>FRGPAAF22PK</t>
        </is>
      </c>
      <c r="C59" t="inlineStr"/>
      <c r="D59" s="2" t="n">
        <v>24.92</v>
      </c>
      <c r="E59" s="2">
        <f>D59*(1+Supuestos!$B$4)</f>
        <v/>
      </c>
      <c r="F59" s="2">
        <f>E59+Supuestos!$B$5</f>
        <v/>
      </c>
      <c r="G59" s="2">
        <f>ROUNDUP((F59+Supuestos!$B$3+Supuestos!$B$9)/(1-Supuestos!$B$2),0)-0.01</f>
        <v/>
      </c>
      <c r="H59" s="2">
        <f>ROUNDUP(MAX((F59+Supuestos!$B$3)/(1-Supuestos!$B$2-Supuestos!$B$8),(F59+Supuestos!$B$3+Supuestos!$B$7)/(1-Supuestos!$B$2)),0)-0.01</f>
        <v/>
      </c>
      <c r="I59" s="2" t="n"/>
      <c r="J59" s="3" t="n">
        <v>43.99</v>
      </c>
      <c r="K59" s="2">
        <f>J59-J59*Supuestos!$B$2-Supuestos!$B$3-F59</f>
        <v/>
      </c>
      <c r="L59" s="4">
        <f>K59/J59</f>
        <v/>
      </c>
      <c r="M59" s="2">
        <f>ROUNDUP(MAX(2*J59*0.92,(2*E59+Supuestos!$B$6+Supuestos!$B$3+8)/(1-Supuestos!$B$2)),0)-0.01</f>
        <v/>
      </c>
      <c r="N59" s="2">
        <f>M59-M59*Supuestos!$B$2-Supuestos!$B$3-2*E59-Supuestos!$B$6</f>
        <v/>
      </c>
      <c r="O59" t="inlineStr">
        <is>
          <t>Sin precio de mercado: precio objetivo</t>
        </is>
      </c>
      <c r="P59" t="inlineStr">
        <is>
          <t>Sin datos de mercado</t>
        </is>
      </c>
      <c r="Q59" t="inlineStr"/>
      <c r="S59" t="inlineStr"/>
    </row>
    <row r="60">
      <c r="A60" t="inlineStr">
        <is>
          <t>Frigidaire</t>
        </is>
      </c>
      <c r="B60" t="inlineStr">
        <is>
          <t>FRGPAAF24PK</t>
        </is>
      </c>
      <c r="C60" t="inlineStr"/>
      <c r="D60" s="2" t="n">
        <v>44.3</v>
      </c>
      <c r="E60" s="2">
        <f>D60*(1+Supuestos!$B$4)</f>
        <v/>
      </c>
      <c r="F60" s="2">
        <f>E60+Supuestos!$B$5</f>
        <v/>
      </c>
      <c r="G60" s="2">
        <f>ROUNDUP((F60+Supuestos!$B$3+Supuestos!$B$9)/(1-Supuestos!$B$2),0)-0.01</f>
        <v/>
      </c>
      <c r="H60" s="2">
        <f>ROUNDUP(MAX((F60+Supuestos!$B$3)/(1-Supuestos!$B$2-Supuestos!$B$8),(F60+Supuestos!$B$3+Supuestos!$B$7)/(1-Supuestos!$B$2)),0)-0.01</f>
        <v/>
      </c>
      <c r="I60" s="2" t="n"/>
      <c r="J60" s="3" t="n">
        <v>69.98999999999999</v>
      </c>
      <c r="K60" s="2">
        <f>J60-J60*Supuestos!$B$2-Supuestos!$B$3-F60</f>
        <v/>
      </c>
      <c r="L60" s="4">
        <f>K60/J60</f>
        <v/>
      </c>
      <c r="M60" s="2">
        <f>ROUNDUP(MAX(2*J60*0.92,(2*E60+Supuestos!$B$6+Supuestos!$B$3+8)/(1-Supuestos!$B$2)),0)-0.01</f>
        <v/>
      </c>
      <c r="N60" s="2">
        <f>M60-M60*Supuestos!$B$2-Supuestos!$B$3-2*E60-Supuestos!$B$6</f>
        <v/>
      </c>
      <c r="O60" t="inlineStr">
        <is>
          <t>Sin precio de mercado: precio objetivo</t>
        </is>
      </c>
      <c r="P60" t="inlineStr">
        <is>
          <t>Sin datos de mercado</t>
        </is>
      </c>
      <c r="Q60" t="inlineStr"/>
      <c r="S60" t="inlineStr"/>
    </row>
    <row r="61">
      <c r="A61" t="inlineStr">
        <is>
          <t>Frigidaire</t>
        </is>
      </c>
      <c r="B61" t="inlineStr">
        <is>
          <t>FRPFUAF1</t>
        </is>
      </c>
      <c r="C61" t="inlineStr"/>
      <c r="D61" s="2" t="n">
        <v>9.59</v>
      </c>
      <c r="E61" s="2">
        <f>D61*(1+Supuestos!$B$4)</f>
        <v/>
      </c>
      <c r="F61" s="2">
        <f>E61+Supuestos!$B$5</f>
        <v/>
      </c>
      <c r="G61" s="2">
        <f>ROUNDUP((F61+Supuestos!$B$3+Supuestos!$B$9)/(1-Supuestos!$B$2),0)-0.01</f>
        <v/>
      </c>
      <c r="H61" s="2">
        <f>ROUNDUP(MAX((F61+Supuestos!$B$3)/(1-Supuestos!$B$2-Supuestos!$B$8),(F61+Supuestos!$B$3+Supuestos!$B$7)/(1-Supuestos!$B$2)),0)-0.01</f>
        <v/>
      </c>
      <c r="I61" s="2" t="n"/>
      <c r="J61" s="3" t="n">
        <v>25.99</v>
      </c>
      <c r="K61" s="2">
        <f>J61-J61*Supuestos!$B$2-Supuestos!$B$3-F61</f>
        <v/>
      </c>
      <c r="L61" s="4">
        <f>K61/J61</f>
        <v/>
      </c>
      <c r="M61" s="2">
        <f>ROUNDUP(MAX(2*J61*0.92,(2*E61+Supuestos!$B$6+Supuestos!$B$3+8)/(1-Supuestos!$B$2)),0)-0.01</f>
        <v/>
      </c>
      <c r="N61" s="2">
        <f>M61-M61*Supuestos!$B$2-Supuestos!$B$3-2*E61-Supuestos!$B$6</f>
        <v/>
      </c>
      <c r="O61" t="inlineStr">
        <is>
          <t>Sin precio de mercado: precio objetivo</t>
        </is>
      </c>
      <c r="P61" t="inlineStr">
        <is>
          <t>Sin datos de mercado</t>
        </is>
      </c>
      <c r="Q61" t="inlineStr"/>
      <c r="R61" t="n">
        <v>6</v>
      </c>
      <c r="S61" t="inlineStr"/>
    </row>
    <row r="62">
      <c r="A62" t="inlineStr">
        <is>
          <t>Frigidaire</t>
        </is>
      </c>
      <c r="B62" t="inlineStr">
        <is>
          <t>FRPAPKRF</t>
        </is>
      </c>
      <c r="C62" t="inlineStr"/>
      <c r="D62" s="2" t="n">
        <v>7.99</v>
      </c>
      <c r="E62" s="2">
        <f>D62*(1+Supuestos!$B$4)</f>
        <v/>
      </c>
      <c r="F62" s="2">
        <f>E62+Supuestos!$B$5</f>
        <v/>
      </c>
      <c r="G62" s="2">
        <f>ROUNDUP((F62+Supuestos!$B$3+Supuestos!$B$9)/(1-Supuestos!$B$2),0)-0.01</f>
        <v/>
      </c>
      <c r="H62" s="2">
        <f>ROUNDUP(MAX((F62+Supuestos!$B$3)/(1-Supuestos!$B$2-Supuestos!$B$8),(F62+Supuestos!$B$3+Supuestos!$B$7)/(1-Supuestos!$B$2)),0)-0.01</f>
        <v/>
      </c>
      <c r="I62" s="2" t="n"/>
      <c r="J62" s="3" t="n">
        <v>23.99</v>
      </c>
      <c r="K62" s="2">
        <f>J62-J62*Supuestos!$B$2-Supuestos!$B$3-F62</f>
        <v/>
      </c>
      <c r="L62" s="4">
        <f>K62/J62</f>
        <v/>
      </c>
      <c r="M62" s="2">
        <f>ROUNDUP(MAX(2*J62*0.92,(2*E62+Supuestos!$B$6+Supuestos!$B$3+8)/(1-Supuestos!$B$2)),0)-0.01</f>
        <v/>
      </c>
      <c r="N62" s="2">
        <f>M62-M62*Supuestos!$B$2-Supuestos!$B$3-2*E62-Supuestos!$B$6</f>
        <v/>
      </c>
      <c r="O62" t="inlineStr">
        <is>
          <t>Sin precio de mercado: precio objetivo</t>
        </is>
      </c>
      <c r="P62" t="inlineStr">
        <is>
          <t>Sin datos de mercado</t>
        </is>
      </c>
      <c r="Q62" t="inlineStr"/>
      <c r="R62" t="n">
        <v>6</v>
      </c>
      <c r="S62" t="inlineStr"/>
    </row>
    <row r="63">
      <c r="A63" t="inlineStr">
        <is>
          <t>Frigidaire</t>
        </is>
      </c>
      <c r="B63" t="inlineStr">
        <is>
          <t>FRPAPK2RF</t>
        </is>
      </c>
      <c r="C63" t="inlineStr"/>
      <c r="D63" s="2" t="n">
        <v>18.22</v>
      </c>
      <c r="E63" s="2">
        <f>D63*(1+Supuestos!$B$4)</f>
        <v/>
      </c>
      <c r="F63" s="2">
        <f>E63+Supuestos!$B$5</f>
        <v/>
      </c>
      <c r="G63" s="2">
        <f>ROUNDUP((F63+Supuestos!$B$3+Supuestos!$B$9)/(1-Supuestos!$B$2),0)-0.01</f>
        <v/>
      </c>
      <c r="H63" s="2">
        <f>ROUNDUP(MAX((F63+Supuestos!$B$3)/(1-Supuestos!$B$2-Supuestos!$B$8),(F63+Supuestos!$B$3+Supuestos!$B$7)/(1-Supuestos!$B$2)),0)-0.01</f>
        <v/>
      </c>
      <c r="I63" s="2" t="n"/>
      <c r="J63" s="3" t="n">
        <v>35.99</v>
      </c>
      <c r="K63" s="2">
        <f>J63-J63*Supuestos!$B$2-Supuestos!$B$3-F63</f>
        <v/>
      </c>
      <c r="L63" s="4">
        <f>K63/J63</f>
        <v/>
      </c>
      <c r="M63" s="2">
        <f>ROUNDUP(MAX(2*J63*0.92,(2*E63+Supuestos!$B$6+Supuestos!$B$3+8)/(1-Supuestos!$B$2)),0)-0.01</f>
        <v/>
      </c>
      <c r="N63" s="2">
        <f>M63-M63*Supuestos!$B$2-Supuestos!$B$3-2*E63-Supuestos!$B$6</f>
        <v/>
      </c>
      <c r="O63" t="inlineStr">
        <is>
          <t>Sin precio de mercado: precio objetivo</t>
        </is>
      </c>
      <c r="P63" t="inlineStr">
        <is>
          <t>Sin datos de mercado</t>
        </is>
      </c>
      <c r="Q63" t="inlineStr"/>
      <c r="R63" t="n">
        <v>6</v>
      </c>
      <c r="S63" t="inlineStr"/>
    </row>
    <row r="64">
      <c r="A64" t="inlineStr">
        <is>
          <t>Whirlpool</t>
        </is>
      </c>
      <c r="B64" t="inlineStr">
        <is>
          <t>EDR1RXD1</t>
        </is>
      </c>
      <c r="C64" t="inlineStr">
        <is>
          <t>wp-1-o</t>
        </is>
      </c>
      <c r="D64" s="2" t="n">
        <v>48</v>
      </c>
      <c r="E64" s="2">
        <f>D64*(1+Supuestos!$B$4)</f>
        <v/>
      </c>
      <c r="F64" s="2">
        <f>E64+Supuestos!$B$5</f>
        <v/>
      </c>
      <c r="G64" s="2">
        <f>ROUNDUP((F64+Supuestos!$B$3+Supuestos!$B$9)/(1-Supuestos!$B$2),0)-0.01</f>
        <v/>
      </c>
      <c r="H64" s="2">
        <f>ROUNDUP(MAX((F64+Supuestos!$B$3)/(1-Supuestos!$B$2-Supuestos!$B$8),(F64+Supuestos!$B$3+Supuestos!$B$7)/(1-Supuestos!$B$2)),0)-0.01</f>
        <v/>
      </c>
      <c r="I64" s="2" t="n">
        <v>49.98</v>
      </c>
      <c r="J64" s="3" t="n"/>
      <c r="K64" s="2" t="n"/>
      <c r="L64" s="4" t="n"/>
      <c r="M64" s="2" t="n"/>
      <c r="N64" s="2" t="n"/>
      <c r="O64" s="5" t="inlineStr">
        <is>
          <t>No vender suelto: el mercado está casi al precio de costo</t>
        </is>
      </c>
      <c r="P64" t="inlineStr">
        <is>
          <t>Amazon 49.98; lista 59.99; ofertas 30–33</t>
        </is>
      </c>
      <c r="Q64" t="inlineStr">
        <is>
          <t>slickdeals.net, walmart.com</t>
        </is>
      </c>
      <c r="R64" t="n">
        <v>2</v>
      </c>
      <c r="S64" t="inlineStr"/>
    </row>
    <row r="65">
      <c r="A65" t="inlineStr">
        <is>
          <t>Whirlpool</t>
        </is>
      </c>
      <c r="B65" t="inlineStr">
        <is>
          <t>EDR2RXD1</t>
        </is>
      </c>
      <c r="C65" t="inlineStr">
        <is>
          <t>wp-2-o</t>
        </is>
      </c>
      <c r="D65" s="2" t="n">
        <v>48</v>
      </c>
      <c r="E65" s="2">
        <f>D65*(1+Supuestos!$B$4)</f>
        <v/>
      </c>
      <c r="F65" s="2">
        <f>E65+Supuestos!$B$5</f>
        <v/>
      </c>
      <c r="G65" s="2">
        <f>ROUNDUP((F65+Supuestos!$B$3+Supuestos!$B$9)/(1-Supuestos!$B$2),0)-0.01</f>
        <v/>
      </c>
      <c r="H65" s="2">
        <f>ROUNDUP(MAX((F65+Supuestos!$B$3)/(1-Supuestos!$B$2-Supuestos!$B$8),(F65+Supuestos!$B$3+Supuestos!$B$7)/(1-Supuestos!$B$2)),0)-0.01</f>
        <v/>
      </c>
      <c r="I65" s="2" t="n">
        <v>49.49</v>
      </c>
      <c r="J65" s="3" t="n"/>
      <c r="K65" s="2" t="n"/>
      <c r="L65" s="4" t="n"/>
      <c r="M65" s="2" t="n"/>
      <c r="N65" s="2" t="n"/>
      <c r="O65" s="5" t="inlineStr">
        <is>
          <t>No vender suelto: el mercado está casi al precio de costo</t>
        </is>
      </c>
      <c r="P65" t="inlineStr">
        <is>
          <t>Similar a EDR3/4/5 (49–57)</t>
        </is>
      </c>
      <c r="Q65" t="inlineStr">
        <is>
          <t>allfilters.com</t>
        </is>
      </c>
      <c r="R65" t="n">
        <v>2</v>
      </c>
      <c r="S65" t="inlineStr"/>
    </row>
    <row r="66">
      <c r="A66" t="inlineStr">
        <is>
          <t>Whirlpool</t>
        </is>
      </c>
      <c r="B66" t="inlineStr">
        <is>
          <t>EDR3RXD1</t>
        </is>
      </c>
      <c r="C66" t="inlineStr">
        <is>
          <t>wp-3-o</t>
        </is>
      </c>
      <c r="D66" s="2" t="n">
        <v>48</v>
      </c>
      <c r="E66" s="2">
        <f>D66*(1+Supuestos!$B$4)</f>
        <v/>
      </c>
      <c r="F66" s="2">
        <f>E66+Supuestos!$B$5</f>
        <v/>
      </c>
      <c r="G66" s="2">
        <f>ROUNDUP((F66+Supuestos!$B$3+Supuestos!$B$9)/(1-Supuestos!$B$2),0)-0.01</f>
        <v/>
      </c>
      <c r="H66" s="2">
        <f>ROUNDUP(MAX((F66+Supuestos!$B$3)/(1-Supuestos!$B$2-Supuestos!$B$8),(F66+Supuestos!$B$3+Supuestos!$B$7)/(1-Supuestos!$B$2)),0)-0.01</f>
        <v/>
      </c>
      <c r="I66" s="2" t="n">
        <v>49.49</v>
      </c>
      <c r="J66" s="3" t="n"/>
      <c r="K66" s="2" t="n"/>
      <c r="L66" s="4" t="n"/>
      <c r="M66" s="2" t="n"/>
      <c r="N66" s="2" t="n"/>
      <c r="O66" s="5" t="inlineStr">
        <is>
          <t>No vender suelto: el mercado está casi al precio de costo</t>
        </is>
      </c>
      <c r="P66" t="inlineStr">
        <is>
          <t>Allfilters 49.49; Walmart 48; Sears 56.57</t>
        </is>
      </c>
      <c r="Q66" t="inlineStr">
        <is>
          <t>allfilters.com, walmart.com</t>
        </is>
      </c>
      <c r="R66" t="n">
        <v>2</v>
      </c>
      <c r="S66" t="inlineStr"/>
    </row>
    <row r="67">
      <c r="A67" t="inlineStr">
        <is>
          <t>Whirlpool</t>
        </is>
      </c>
      <c r="B67" t="inlineStr">
        <is>
          <t>EDR4RXD1</t>
        </is>
      </c>
      <c r="C67" t="inlineStr">
        <is>
          <t>wp-4-o</t>
        </is>
      </c>
      <c r="D67" s="2" t="n">
        <v>48</v>
      </c>
      <c r="E67" s="2">
        <f>D67*(1+Supuestos!$B$4)</f>
        <v/>
      </c>
      <c r="F67" s="2">
        <f>E67+Supuestos!$B$5</f>
        <v/>
      </c>
      <c r="G67" s="2">
        <f>ROUNDUP((F67+Supuestos!$B$3+Supuestos!$B$9)/(1-Supuestos!$B$2),0)-0.01</f>
        <v/>
      </c>
      <c r="H67" s="2">
        <f>ROUNDUP(MAX((F67+Supuestos!$B$3)/(1-Supuestos!$B$2-Supuestos!$B$8),(F67+Supuestos!$B$3+Supuestos!$B$7)/(1-Supuestos!$B$2)),0)-0.01</f>
        <v/>
      </c>
      <c r="I67" s="2" t="n">
        <v>49.49</v>
      </c>
      <c r="J67" s="3" t="n"/>
      <c r="K67" s="2" t="n"/>
      <c r="L67" s="4" t="n"/>
      <c r="M67" s="2" t="n"/>
      <c r="N67" s="2" t="n"/>
      <c r="O67" s="5" t="inlineStr">
        <is>
          <t>No vender suelto: el mercado está casi al precio de costo</t>
        </is>
      </c>
      <c r="P67" t="inlineStr">
        <is>
          <t>Allfilters 49.49; Walmart 50.80–52</t>
        </is>
      </c>
      <c r="Q67" t="inlineStr">
        <is>
          <t>allfilters.com, walmart.com</t>
        </is>
      </c>
      <c r="R67" t="n">
        <v>2</v>
      </c>
      <c r="S67" t="inlineStr"/>
    </row>
    <row r="68">
      <c r="A68" t="inlineStr">
        <is>
          <t>Whirlpool</t>
        </is>
      </c>
      <c r="B68" t="inlineStr">
        <is>
          <t>EDR5RXD1</t>
        </is>
      </c>
      <c r="C68" t="inlineStr">
        <is>
          <t>wp-5-o</t>
        </is>
      </c>
      <c r="D68" s="2" t="n">
        <v>48</v>
      </c>
      <c r="E68" s="2">
        <f>D68*(1+Supuestos!$B$4)</f>
        <v/>
      </c>
      <c r="F68" s="2">
        <f>E68+Supuestos!$B$5</f>
        <v/>
      </c>
      <c r="G68" s="2">
        <f>ROUNDUP((F68+Supuestos!$B$3+Supuestos!$B$9)/(1-Supuestos!$B$2),0)-0.01</f>
        <v/>
      </c>
      <c r="H68" s="2">
        <f>ROUNDUP(MAX((F68+Supuestos!$B$3)/(1-Supuestos!$B$2-Supuestos!$B$8),(F68+Supuestos!$B$3+Supuestos!$B$7)/(1-Supuestos!$B$2)),0)-0.01</f>
        <v/>
      </c>
      <c r="I68" s="2" t="n">
        <v>49.95</v>
      </c>
      <c r="J68" s="3" t="n"/>
      <c r="K68" s="2" t="n"/>
      <c r="L68" s="4" t="n"/>
      <c r="M68" s="2" t="n"/>
      <c r="N68" s="2" t="n"/>
      <c r="O68" s="5" t="inlineStr">
        <is>
          <t>No vender suelto: el mercado está casi al precio de costo</t>
        </is>
      </c>
      <c r="P68" t="inlineStr">
        <is>
          <t>Allfilters 49.95; lista 59.99</t>
        </is>
      </c>
      <c r="Q68" t="inlineStr">
        <is>
          <t>allfilters.com</t>
        </is>
      </c>
      <c r="R68" t="n">
        <v>2</v>
      </c>
      <c r="S68" t="inlineStr"/>
    </row>
    <row r="69">
      <c r="A69" t="inlineStr">
        <is>
          <t>Whirlpool</t>
        </is>
      </c>
      <c r="B69" t="inlineStr">
        <is>
          <t>EDR6RXD1</t>
        </is>
      </c>
      <c r="C69" t="inlineStr"/>
      <c r="D69" s="2" t="n">
        <v>48</v>
      </c>
      <c r="E69" s="2">
        <f>D69*(1+Supuestos!$B$4)</f>
        <v/>
      </c>
      <c r="F69" s="2">
        <f>E69+Supuestos!$B$5</f>
        <v/>
      </c>
      <c r="G69" s="2">
        <f>ROUNDUP((F69+Supuestos!$B$3+Supuestos!$B$9)/(1-Supuestos!$B$2),0)-0.01</f>
        <v/>
      </c>
      <c r="H69" s="2">
        <f>ROUNDUP(MAX((F69+Supuestos!$B$3)/(1-Supuestos!$B$2-Supuestos!$B$8),(F69+Supuestos!$B$3+Supuestos!$B$7)/(1-Supuestos!$B$2)),0)-0.01</f>
        <v/>
      </c>
      <c r="I69" s="2" t="n"/>
      <c r="J69" s="3" t="n">
        <v>74.98999999999999</v>
      </c>
      <c r="K69" s="2">
        <f>J69-J69*Supuestos!$B$2-Supuestos!$B$3-F69</f>
        <v/>
      </c>
      <c r="L69" s="4">
        <f>K69/J69</f>
        <v/>
      </c>
      <c r="M69" s="2">
        <f>ROUNDUP(MAX(2*J69*0.92,(2*E69+Supuestos!$B$6+Supuestos!$B$3+8)/(1-Supuestos!$B$2)),0)-0.01</f>
        <v/>
      </c>
      <c r="N69" s="2">
        <f>M69-M69*Supuestos!$B$2-Supuestos!$B$3-2*E69-Supuestos!$B$6</f>
        <v/>
      </c>
      <c r="O69" t="inlineStr">
        <is>
          <t>Sin precio de mercado: precio objetivo</t>
        </is>
      </c>
      <c r="P69" t="inlineStr">
        <is>
          <t>Sin datos de mercado</t>
        </is>
      </c>
      <c r="Q69" t="inlineStr"/>
      <c r="R69" t="n">
        <v>2</v>
      </c>
      <c r="S69" t="inlineStr"/>
    </row>
    <row r="70">
      <c r="A70" t="inlineStr">
        <is>
          <t>Whirlpool</t>
        </is>
      </c>
      <c r="B70" t="inlineStr">
        <is>
          <t>EDRARXD1</t>
        </is>
      </c>
      <c r="C70" t="inlineStr"/>
      <c r="D70" s="2" t="n">
        <v>48</v>
      </c>
      <c r="E70" s="2">
        <f>D70*(1+Supuestos!$B$4)</f>
        <v/>
      </c>
      <c r="F70" s="2">
        <f>E70+Supuestos!$B$5</f>
        <v/>
      </c>
      <c r="G70" s="2">
        <f>ROUNDUP((F70+Supuestos!$B$3+Supuestos!$B$9)/(1-Supuestos!$B$2),0)-0.01</f>
        <v/>
      </c>
      <c r="H70" s="2">
        <f>ROUNDUP(MAX((F70+Supuestos!$B$3)/(1-Supuestos!$B$2-Supuestos!$B$8),(F70+Supuestos!$B$3+Supuestos!$B$7)/(1-Supuestos!$B$2)),0)-0.01</f>
        <v/>
      </c>
      <c r="I70" s="2" t="n"/>
      <c r="J70" s="3" t="n">
        <v>74.98999999999999</v>
      </c>
      <c r="K70" s="2">
        <f>J70-J70*Supuestos!$B$2-Supuestos!$B$3-F70</f>
        <v/>
      </c>
      <c r="L70" s="4">
        <f>K70/J70</f>
        <v/>
      </c>
      <c r="M70" s="2">
        <f>ROUNDUP(MAX(2*J70*0.92,(2*E70+Supuestos!$B$6+Supuestos!$B$3+8)/(1-Supuestos!$B$2)),0)-0.01</f>
        <v/>
      </c>
      <c r="N70" s="2">
        <f>M70-M70*Supuestos!$B$2-Supuestos!$B$3-2*E70-Supuestos!$B$6</f>
        <v/>
      </c>
      <c r="O70" t="inlineStr">
        <is>
          <t>Sin precio de mercado: precio objetivo</t>
        </is>
      </c>
      <c r="P70" t="inlineStr">
        <is>
          <t>Sin datos de mercado</t>
        </is>
      </c>
      <c r="Q70" t="inlineStr"/>
      <c r="R70" t="n">
        <v>2</v>
      </c>
      <c r="S70" t="inlineStr"/>
    </row>
    <row r="71">
      <c r="A71" t="inlineStr">
        <is>
          <t>Whirlpool</t>
        </is>
      </c>
      <c r="B71" t="inlineStr">
        <is>
          <t>4378411RB</t>
        </is>
      </c>
      <c r="C71" t="inlineStr">
        <is>
          <t>wp-ex-o</t>
        </is>
      </c>
      <c r="D71" s="2" t="n">
        <v>9.4</v>
      </c>
      <c r="E71" s="2">
        <f>D71*(1+Supuestos!$B$4)</f>
        <v/>
      </c>
      <c r="F71" s="2">
        <f>E71+Supuestos!$B$5</f>
        <v/>
      </c>
      <c r="G71" s="2">
        <f>ROUNDUP((F71+Supuestos!$B$3+Supuestos!$B$9)/(1-Supuestos!$B$2),0)-0.01</f>
        <v/>
      </c>
      <c r="H71" s="2">
        <f>ROUNDUP(MAX((F71+Supuestos!$B$3)/(1-Supuestos!$B$2-Supuestos!$B$8),(F71+Supuestos!$B$3+Supuestos!$B$7)/(1-Supuestos!$B$2)),0)-0.01</f>
        <v/>
      </c>
      <c r="I71" s="2" t="n">
        <v>23.49</v>
      </c>
      <c r="J71" s="3" t="n">
        <v>25.99</v>
      </c>
      <c r="K71" s="2">
        <f>J71-J71*Supuestos!$B$2-Supuestos!$B$3-F71</f>
        <v/>
      </c>
      <c r="L71" s="4">
        <f>K71/J71</f>
        <v/>
      </c>
      <c r="M71" s="2">
        <f>ROUNDUP(MAX(2*J71*0.92,(2*E71+Supuestos!$B$6+Supuestos!$B$3+8)/(1-Supuestos!$B$2)),0)-0.01</f>
        <v/>
      </c>
      <c r="N71" s="2">
        <f>M71-M71*Supuestos!$B$2-Supuestos!$B$3-2*E71-Supuestos!$B$6</f>
        <v/>
      </c>
      <c r="O71" t="inlineStr">
        <is>
          <t>Competitivo</t>
        </is>
      </c>
      <c r="P71" t="inlineStr">
        <is>
          <t>Slyman Bros 23.49</t>
        </is>
      </c>
      <c r="Q71" t="inlineStr">
        <is>
          <t>slymanbros.com</t>
        </is>
      </c>
      <c r="R71" t="n">
        <v>30</v>
      </c>
      <c r="S71" t="inlineStr"/>
    </row>
    <row r="72">
      <c r="A72" t="inlineStr">
        <is>
          <t>Whirlpool</t>
        </is>
      </c>
      <c r="B72" t="inlineStr">
        <is>
          <t>F2WC9I1</t>
        </is>
      </c>
      <c r="C72" t="inlineStr"/>
      <c r="D72" s="2" t="n">
        <v>42</v>
      </c>
      <c r="E72" s="2">
        <f>D72*(1+Supuestos!$B$4)</f>
        <v/>
      </c>
      <c r="F72" s="2">
        <f>E72+Supuestos!$B$5</f>
        <v/>
      </c>
      <c r="G72" s="2">
        <f>ROUNDUP((F72+Supuestos!$B$3+Supuestos!$B$9)/(1-Supuestos!$B$2),0)-0.01</f>
        <v/>
      </c>
      <c r="H72" s="2">
        <f>ROUNDUP(MAX((F72+Supuestos!$B$3)/(1-Supuestos!$B$2-Supuestos!$B$8),(F72+Supuestos!$B$3+Supuestos!$B$7)/(1-Supuestos!$B$2)),0)-0.01</f>
        <v/>
      </c>
      <c r="I72" s="2" t="n"/>
      <c r="J72" s="3" t="n">
        <v>66.98999999999999</v>
      </c>
      <c r="K72" s="2">
        <f>J72-J72*Supuestos!$B$2-Supuestos!$B$3-F72</f>
        <v/>
      </c>
      <c r="L72" s="4">
        <f>K72/J72</f>
        <v/>
      </c>
      <c r="M72" s="2">
        <f>ROUNDUP(MAX(2*J72*0.92,(2*E72+Supuestos!$B$6+Supuestos!$B$3+8)/(1-Supuestos!$B$2)),0)-0.01</f>
        <v/>
      </c>
      <c r="N72" s="2">
        <f>M72-M72*Supuestos!$B$2-Supuestos!$B$3-2*E72-Supuestos!$B$6</f>
        <v/>
      </c>
      <c r="O72" t="inlineStr">
        <is>
          <t>Sin precio de mercado: precio objetivo</t>
        </is>
      </c>
      <c r="P72" t="inlineStr">
        <is>
          <t>Sin datos de mercado</t>
        </is>
      </c>
      <c r="Q72" t="inlineStr"/>
      <c r="R72" t="n">
        <v>2</v>
      </c>
      <c r="S72" t="inlineStr"/>
    </row>
    <row r="73">
      <c r="A73" t="inlineStr">
        <is>
          <t>Whirlpool</t>
        </is>
      </c>
      <c r="B73" t="inlineStr">
        <is>
          <t>W10311524</t>
        </is>
      </c>
      <c r="C73" t="inlineStr"/>
      <c r="D73" s="2" t="n">
        <v>7.75</v>
      </c>
      <c r="E73" s="2">
        <f>D73*(1+Supuestos!$B$4)</f>
        <v/>
      </c>
      <c r="F73" s="2">
        <f>E73+Supuestos!$B$5</f>
        <v/>
      </c>
      <c r="G73" s="2">
        <f>ROUNDUP((F73+Supuestos!$B$3+Supuestos!$B$9)/(1-Supuestos!$B$2),0)-0.01</f>
        <v/>
      </c>
      <c r="H73" s="2">
        <f>ROUNDUP(MAX((F73+Supuestos!$B$3)/(1-Supuestos!$B$2-Supuestos!$B$8),(F73+Supuestos!$B$3+Supuestos!$B$7)/(1-Supuestos!$B$2)),0)-0.01</f>
        <v/>
      </c>
      <c r="I73" s="2" t="n"/>
      <c r="J73" s="3" t="n">
        <v>23.99</v>
      </c>
      <c r="K73" s="2">
        <f>J73-J73*Supuestos!$B$2-Supuestos!$B$3-F73</f>
        <v/>
      </c>
      <c r="L73" s="4">
        <f>K73/J73</f>
        <v/>
      </c>
      <c r="M73" s="2">
        <f>ROUNDUP(MAX(2*J73*0.92,(2*E73+Supuestos!$B$6+Supuestos!$B$3+8)/(1-Supuestos!$B$2)),0)-0.01</f>
        <v/>
      </c>
      <c r="N73" s="2">
        <f>M73-M73*Supuestos!$B$2-Supuestos!$B$3-2*E73-Supuestos!$B$6</f>
        <v/>
      </c>
      <c r="O73" t="inlineStr">
        <is>
          <t>Sin precio de mercado: precio objetivo</t>
        </is>
      </c>
      <c r="P73" t="inlineStr">
        <is>
          <t>Sin datos de mercado</t>
        </is>
      </c>
      <c r="Q73" t="inlineStr"/>
      <c r="S73" t="inlineStr"/>
    </row>
    <row r="74">
      <c r="A74" t="inlineStr">
        <is>
          <t>Kenmore</t>
        </is>
      </c>
      <c r="B74" t="inlineStr">
        <is>
          <t>9490.0</t>
        </is>
      </c>
      <c r="C74" t="inlineStr"/>
      <c r="D74" s="2" t="n">
        <v>24.5</v>
      </c>
      <c r="E74" s="2">
        <f>D74*(1+Supuestos!$B$4)</f>
        <v/>
      </c>
      <c r="F74" s="2">
        <f>E74+Supuestos!$B$5</f>
        <v/>
      </c>
      <c r="G74" s="2">
        <f>ROUNDUP((F74+Supuestos!$B$3+Supuestos!$B$9)/(1-Supuestos!$B$2),0)-0.01</f>
        <v/>
      </c>
      <c r="H74" s="2">
        <f>ROUNDUP(MAX((F74+Supuestos!$B$3)/(1-Supuestos!$B$2-Supuestos!$B$8),(F74+Supuestos!$B$3+Supuestos!$B$7)/(1-Supuestos!$B$2)),0)-0.01</f>
        <v/>
      </c>
      <c r="I74" s="2" t="n"/>
      <c r="J74" s="3" t="n">
        <v>43.99</v>
      </c>
      <c r="K74" s="2">
        <f>J74-J74*Supuestos!$B$2-Supuestos!$B$3-F74</f>
        <v/>
      </c>
      <c r="L74" s="4">
        <f>K74/J74</f>
        <v/>
      </c>
      <c r="M74" s="2">
        <f>ROUNDUP(MAX(2*J74*0.92,(2*E74+Supuestos!$B$6+Supuestos!$B$3+8)/(1-Supuestos!$B$2)),0)-0.01</f>
        <v/>
      </c>
      <c r="N74" s="2">
        <f>M74-M74*Supuestos!$B$2-Supuestos!$B$3-2*E74-Supuestos!$B$6</f>
        <v/>
      </c>
      <c r="O74" t="inlineStr">
        <is>
          <t>Sin precio de mercado: precio objetivo</t>
        </is>
      </c>
      <c r="P74" t="inlineStr">
        <is>
          <t>Sin datos de mercado</t>
        </is>
      </c>
      <c r="Q74" t="inlineStr"/>
      <c r="R74" t="n">
        <v>49</v>
      </c>
      <c r="S74" t="inlineStr"/>
    </row>
    <row r="75">
      <c r="A75" t="inlineStr">
        <is>
          <t>Kenmore</t>
        </is>
      </c>
      <c r="B75" t="inlineStr">
        <is>
          <t>9690.0</t>
        </is>
      </c>
      <c r="C75" t="inlineStr"/>
      <c r="D75" s="2" t="n">
        <v>24.5</v>
      </c>
      <c r="E75" s="2">
        <f>D75*(1+Supuestos!$B$4)</f>
        <v/>
      </c>
      <c r="F75" s="2">
        <f>E75+Supuestos!$B$5</f>
        <v/>
      </c>
      <c r="G75" s="2">
        <f>ROUNDUP((F75+Supuestos!$B$3+Supuestos!$B$9)/(1-Supuestos!$B$2),0)-0.01</f>
        <v/>
      </c>
      <c r="H75" s="2">
        <f>ROUNDUP(MAX((F75+Supuestos!$B$3)/(1-Supuestos!$B$2-Supuestos!$B$8),(F75+Supuestos!$B$3+Supuestos!$B$7)/(1-Supuestos!$B$2)),0)-0.01</f>
        <v/>
      </c>
      <c r="I75" s="2" t="n"/>
      <c r="J75" s="3" t="n">
        <v>43.99</v>
      </c>
      <c r="K75" s="2">
        <f>J75-J75*Supuestos!$B$2-Supuestos!$B$3-F75</f>
        <v/>
      </c>
      <c r="L75" s="4">
        <f>K75/J75</f>
        <v/>
      </c>
      <c r="M75" s="2">
        <f>ROUNDUP(MAX(2*J75*0.92,(2*E75+Supuestos!$B$6+Supuestos!$B$3+8)/(1-Supuestos!$B$2)),0)-0.01</f>
        <v/>
      </c>
      <c r="N75" s="2">
        <f>M75-M75*Supuestos!$B$2-Supuestos!$B$3-2*E75-Supuestos!$B$6</f>
        <v/>
      </c>
      <c r="O75" t="inlineStr">
        <is>
          <t>Sin precio de mercado: precio objetivo</t>
        </is>
      </c>
      <c r="P75" t="inlineStr">
        <is>
          <t>Sin datos de mercado</t>
        </is>
      </c>
      <c r="Q75" t="inlineStr"/>
      <c r="R75" t="n">
        <v>36</v>
      </c>
      <c r="S75" t="inlineStr"/>
    </row>
    <row r="76">
      <c r="A76" t="inlineStr">
        <is>
          <t>Kenmore</t>
        </is>
      </c>
      <c r="B76" t="inlineStr">
        <is>
          <t>9890.0</t>
        </is>
      </c>
      <c r="C76" t="inlineStr"/>
      <c r="D76" s="2" t="n">
        <v>24.5</v>
      </c>
      <c r="E76" s="2">
        <f>D76*(1+Supuestos!$B$4)</f>
        <v/>
      </c>
      <c r="F76" s="2">
        <f>E76+Supuestos!$B$5</f>
        <v/>
      </c>
      <c r="G76" s="2">
        <f>ROUNDUP((F76+Supuestos!$B$3+Supuestos!$B$9)/(1-Supuestos!$B$2),0)-0.01</f>
        <v/>
      </c>
      <c r="H76" s="2">
        <f>ROUNDUP(MAX((F76+Supuestos!$B$3)/(1-Supuestos!$B$2-Supuestos!$B$8),(F76+Supuestos!$B$3+Supuestos!$B$7)/(1-Supuestos!$B$2)),0)-0.01</f>
        <v/>
      </c>
      <c r="I76" s="2" t="n"/>
      <c r="J76" s="3" t="n">
        <v>43.99</v>
      </c>
      <c r="K76" s="2">
        <f>J76-J76*Supuestos!$B$2-Supuestos!$B$3-F76</f>
        <v/>
      </c>
      <c r="L76" s="4">
        <f>K76/J76</f>
        <v/>
      </c>
      <c r="M76" s="2">
        <f>ROUNDUP(MAX(2*J76*0.92,(2*E76+Supuestos!$B$6+Supuestos!$B$3+8)/(1-Supuestos!$B$2)),0)-0.01</f>
        <v/>
      </c>
      <c r="N76" s="2">
        <f>M76-M76*Supuestos!$B$2-Supuestos!$B$3-2*E76-Supuestos!$B$6</f>
        <v/>
      </c>
      <c r="O76" t="inlineStr">
        <is>
          <t>Sin precio de mercado: precio objetivo</t>
        </is>
      </c>
      <c r="P76" t="inlineStr">
        <is>
          <t>Sin datos de mercado</t>
        </is>
      </c>
      <c r="Q76" t="inlineStr"/>
      <c r="R76" t="n">
        <v>36</v>
      </c>
      <c r="S76" t="inlineStr"/>
    </row>
    <row r="77">
      <c r="A77" t="inlineStr">
        <is>
          <t>Kenmore</t>
        </is>
      </c>
      <c r="B77" t="inlineStr">
        <is>
          <t>9980.0</t>
        </is>
      </c>
      <c r="C77" t="inlineStr"/>
      <c r="D77" s="2" t="n">
        <v>24.5</v>
      </c>
      <c r="E77" s="2">
        <f>D77*(1+Supuestos!$B$4)</f>
        <v/>
      </c>
      <c r="F77" s="2">
        <f>E77+Supuestos!$B$5</f>
        <v/>
      </c>
      <c r="G77" s="2">
        <f>ROUNDUP((F77+Supuestos!$B$3+Supuestos!$B$9)/(1-Supuestos!$B$2),0)-0.01</f>
        <v/>
      </c>
      <c r="H77" s="2">
        <f>ROUNDUP(MAX((F77+Supuestos!$B$3)/(1-Supuestos!$B$2-Supuestos!$B$8),(F77+Supuestos!$B$3+Supuestos!$B$7)/(1-Supuestos!$B$2)),0)-0.01</f>
        <v/>
      </c>
      <c r="I77" s="2" t="n"/>
      <c r="J77" s="3" t="n">
        <v>43.99</v>
      </c>
      <c r="K77" s="2">
        <f>J77-J77*Supuestos!$B$2-Supuestos!$B$3-F77</f>
        <v/>
      </c>
      <c r="L77" s="4">
        <f>K77/J77</f>
        <v/>
      </c>
      <c r="M77" s="2">
        <f>ROUNDUP(MAX(2*J77*0.92,(2*E77+Supuestos!$B$6+Supuestos!$B$3+8)/(1-Supuestos!$B$2)),0)-0.01</f>
        <v/>
      </c>
      <c r="N77" s="2">
        <f>M77-M77*Supuestos!$B$2-Supuestos!$B$3-2*E77-Supuestos!$B$6</f>
        <v/>
      </c>
      <c r="O77" t="inlineStr">
        <is>
          <t>Sin precio de mercado: precio objetivo</t>
        </is>
      </c>
      <c r="P77" t="inlineStr">
        <is>
          <t>Sin datos de mercado</t>
        </is>
      </c>
      <c r="Q77" t="inlineStr"/>
      <c r="R77" t="n">
        <v>36</v>
      </c>
      <c r="S77" t="inlineStr"/>
    </row>
    <row r="78">
      <c r="A78" t="inlineStr">
        <is>
          <t>Kenmore</t>
        </is>
      </c>
      <c r="B78" t="inlineStr">
        <is>
          <t>9990.0</t>
        </is>
      </c>
      <c r="C78" t="inlineStr"/>
      <c r="D78" s="2" t="n">
        <v>24.5</v>
      </c>
      <c r="E78" s="2">
        <f>D78*(1+Supuestos!$B$4)</f>
        <v/>
      </c>
      <c r="F78" s="2">
        <f>E78+Supuestos!$B$5</f>
        <v/>
      </c>
      <c r="G78" s="2">
        <f>ROUNDUP((F78+Supuestos!$B$3+Supuestos!$B$9)/(1-Supuestos!$B$2),0)-0.01</f>
        <v/>
      </c>
      <c r="H78" s="2">
        <f>ROUNDUP(MAX((F78+Supuestos!$B$3)/(1-Supuestos!$B$2-Supuestos!$B$8),(F78+Supuestos!$B$3+Supuestos!$B$7)/(1-Supuestos!$B$2)),0)-0.01</f>
        <v/>
      </c>
      <c r="I78" s="2" t="n"/>
      <c r="J78" s="3" t="n">
        <v>43.99</v>
      </c>
      <c r="K78" s="2">
        <f>J78-J78*Supuestos!$B$2-Supuestos!$B$3-F78</f>
        <v/>
      </c>
      <c r="L78" s="4">
        <f>K78/J78</f>
        <v/>
      </c>
      <c r="M78" s="2">
        <f>ROUNDUP(MAX(2*J78*0.92,(2*E78+Supuestos!$B$6+Supuestos!$B$3+8)/(1-Supuestos!$B$2)),0)-0.01</f>
        <v/>
      </c>
      <c r="N78" s="2">
        <f>M78-M78*Supuestos!$B$2-Supuestos!$B$3-2*E78-Supuestos!$B$6</f>
        <v/>
      </c>
      <c r="O78" t="inlineStr">
        <is>
          <t>Sin precio de mercado: precio objetivo</t>
        </is>
      </c>
      <c r="P78" t="inlineStr">
        <is>
          <t>Sin datos de mercado</t>
        </is>
      </c>
      <c r="Q78" t="inlineStr"/>
      <c r="R78" t="n">
        <v>24</v>
      </c>
      <c r="S78" t="inlineStr"/>
    </row>
    <row r="79">
      <c r="A79" t="inlineStr">
        <is>
          <t>Electrolux</t>
        </is>
      </c>
      <c r="B79" t="inlineStr">
        <is>
          <t>5304492441.0</t>
        </is>
      </c>
      <c r="C79" t="inlineStr"/>
      <c r="D79" s="2" t="n">
        <v>19.5</v>
      </c>
      <c r="E79" s="2">
        <f>D79*(1+Supuestos!$B$4)</f>
        <v/>
      </c>
      <c r="F79" s="2">
        <f>E79+Supuestos!$B$5</f>
        <v/>
      </c>
      <c r="G79" s="2">
        <f>ROUNDUP((F79+Supuestos!$B$3+Supuestos!$B$9)/(1-Supuestos!$B$2),0)-0.01</f>
        <v/>
      </c>
      <c r="H79" s="2">
        <f>ROUNDUP(MAX((F79+Supuestos!$B$3)/(1-Supuestos!$B$2-Supuestos!$B$8),(F79+Supuestos!$B$3+Supuestos!$B$7)/(1-Supuestos!$B$2)),0)-0.01</f>
        <v/>
      </c>
      <c r="I79" s="2" t="n"/>
      <c r="J79" s="3" t="n">
        <v>36.99</v>
      </c>
      <c r="K79" s="2">
        <f>J79-J79*Supuestos!$B$2-Supuestos!$B$3-F79</f>
        <v/>
      </c>
      <c r="L79" s="4">
        <f>K79/J79</f>
        <v/>
      </c>
      <c r="M79" s="2">
        <f>ROUNDUP(MAX(2*J79*0.92,(2*E79+Supuestos!$B$6+Supuestos!$B$3+8)/(1-Supuestos!$B$2)),0)-0.01</f>
        <v/>
      </c>
      <c r="N79" s="2">
        <f>M79-M79*Supuestos!$B$2-Supuestos!$B$3-2*E79-Supuestos!$B$6</f>
        <v/>
      </c>
      <c r="O79" t="inlineStr">
        <is>
          <t>Sin precio de mercado: precio objetivo</t>
        </is>
      </c>
      <c r="P79" t="inlineStr">
        <is>
          <t>Sin datos de mercado</t>
        </is>
      </c>
      <c r="Q79" t="inlineStr"/>
      <c r="R79" t="n">
        <v>4</v>
      </c>
      <c r="S79" t="inlineStr"/>
    </row>
    <row r="80">
      <c r="A80" t="inlineStr">
        <is>
          <t>Electrolux</t>
        </is>
      </c>
      <c r="B80" t="inlineStr">
        <is>
          <t>EAFCBF</t>
        </is>
      </c>
      <c r="C80" t="inlineStr"/>
      <c r="D80" s="2" t="n">
        <v>15.59</v>
      </c>
      <c r="E80" s="2">
        <f>D80*(1+Supuestos!$B$4)</f>
        <v/>
      </c>
      <c r="F80" s="2">
        <f>E80+Supuestos!$B$5</f>
        <v/>
      </c>
      <c r="G80" s="2">
        <f>ROUNDUP((F80+Supuestos!$B$3+Supuestos!$B$9)/(1-Supuestos!$B$2),0)-0.01</f>
        <v/>
      </c>
      <c r="H80" s="2">
        <f>ROUNDUP(MAX((F80+Supuestos!$B$3)/(1-Supuestos!$B$2-Supuestos!$B$8),(F80+Supuestos!$B$3+Supuestos!$B$7)/(1-Supuestos!$B$2)),0)-0.01</f>
        <v/>
      </c>
      <c r="I80" s="2" t="n"/>
      <c r="J80" s="3" t="n">
        <v>32.99</v>
      </c>
      <c r="K80" s="2">
        <f>J80-J80*Supuestos!$B$2-Supuestos!$B$3-F80</f>
        <v/>
      </c>
      <c r="L80" s="4">
        <f>K80/J80</f>
        <v/>
      </c>
      <c r="M80" s="2">
        <f>ROUNDUP(MAX(2*J80*0.92,(2*E80+Supuestos!$B$6+Supuestos!$B$3+8)/(1-Supuestos!$B$2)),0)-0.01</f>
        <v/>
      </c>
      <c r="N80" s="2">
        <f>M80-M80*Supuestos!$B$2-Supuestos!$B$3-2*E80-Supuestos!$B$6</f>
        <v/>
      </c>
      <c r="O80" t="inlineStr">
        <is>
          <t>Sin precio de mercado: precio objetivo</t>
        </is>
      </c>
      <c r="P80" t="inlineStr">
        <is>
          <t>Sin datos de mercado</t>
        </is>
      </c>
      <c r="Q80" t="inlineStr"/>
      <c r="R80" t="n">
        <v>12</v>
      </c>
      <c r="S80" t="inlineStr"/>
    </row>
    <row r="81">
      <c r="A81" t="inlineStr">
        <is>
          <t>Electrolux</t>
        </is>
      </c>
      <c r="B81" t="inlineStr">
        <is>
          <t>EAF1CB</t>
        </is>
      </c>
      <c r="C81" t="inlineStr"/>
      <c r="D81" s="2" t="n">
        <v>12.98</v>
      </c>
      <c r="E81" s="2">
        <f>D81*(1+Supuestos!$B$4)</f>
        <v/>
      </c>
      <c r="F81" s="2">
        <f>E81+Supuestos!$B$5</f>
        <v/>
      </c>
      <c r="G81" s="2">
        <f>ROUNDUP((F81+Supuestos!$B$3+Supuestos!$B$9)/(1-Supuestos!$B$2),0)-0.01</f>
        <v/>
      </c>
      <c r="H81" s="2">
        <f>ROUNDUP(MAX((F81+Supuestos!$B$3)/(1-Supuestos!$B$2-Supuestos!$B$8),(F81+Supuestos!$B$3+Supuestos!$B$7)/(1-Supuestos!$B$2)),0)-0.01</f>
        <v/>
      </c>
      <c r="I81" s="2" t="n"/>
      <c r="J81" s="3" t="n">
        <v>29.99</v>
      </c>
      <c r="K81" s="2">
        <f>J81-J81*Supuestos!$B$2-Supuestos!$B$3-F81</f>
        <v/>
      </c>
      <c r="L81" s="4">
        <f>K81/J81</f>
        <v/>
      </c>
      <c r="M81" s="2">
        <f>ROUNDUP(MAX(2*J81*0.92,(2*E81+Supuestos!$B$6+Supuestos!$B$3+8)/(1-Supuestos!$B$2)),0)-0.01</f>
        <v/>
      </c>
      <c r="N81" s="2">
        <f>M81-M81*Supuestos!$B$2-Supuestos!$B$3-2*E81-Supuestos!$B$6</f>
        <v/>
      </c>
      <c r="O81" t="inlineStr">
        <is>
          <t>Sin precio de mercado: precio objetivo</t>
        </is>
      </c>
      <c r="P81" t="inlineStr">
        <is>
          <t>Sin datos de mercado</t>
        </is>
      </c>
      <c r="Q81" t="inlineStr"/>
      <c r="R81" t="n">
        <v>12</v>
      </c>
      <c r="S81" t="inlineStr"/>
    </row>
    <row r="82">
      <c r="A82" t="inlineStr">
        <is>
          <t>Electrolux</t>
        </is>
      </c>
      <c r="B82" t="inlineStr">
        <is>
          <t>EPPWFU01</t>
        </is>
      </c>
      <c r="C82" t="inlineStr"/>
      <c r="D82" s="2" t="n">
        <v>49</v>
      </c>
      <c r="E82" s="2">
        <f>D82*(1+Supuestos!$B$4)</f>
        <v/>
      </c>
      <c r="F82" s="2">
        <f>E82+Supuestos!$B$5</f>
        <v/>
      </c>
      <c r="G82" s="2">
        <f>ROUNDUP((F82+Supuestos!$B$3+Supuestos!$B$9)/(1-Supuestos!$B$2),0)-0.01</f>
        <v/>
      </c>
      <c r="H82" s="2">
        <f>ROUNDUP(MAX((F82+Supuestos!$B$3)/(1-Supuestos!$B$2-Supuestos!$B$8),(F82+Supuestos!$B$3+Supuestos!$B$7)/(1-Supuestos!$B$2)),0)-0.01</f>
        <v/>
      </c>
      <c r="I82" s="2" t="n"/>
      <c r="J82" s="3" t="n">
        <v>76.98999999999999</v>
      </c>
      <c r="K82" s="2">
        <f>J82-J82*Supuestos!$B$2-Supuestos!$B$3-F82</f>
        <v/>
      </c>
      <c r="L82" s="4">
        <f>K82/J82</f>
        <v/>
      </c>
      <c r="M82" s="2">
        <f>ROUNDUP(MAX(2*J82*0.92,(2*E82+Supuestos!$B$6+Supuestos!$B$3+8)/(1-Supuestos!$B$2)),0)-0.01</f>
        <v/>
      </c>
      <c r="N82" s="2">
        <f>M82-M82*Supuestos!$B$2-Supuestos!$B$3-2*E82-Supuestos!$B$6</f>
        <v/>
      </c>
      <c r="O82" t="inlineStr">
        <is>
          <t>Sin precio de mercado: precio objetivo</t>
        </is>
      </c>
      <c r="P82" t="inlineStr">
        <is>
          <t>Sin datos de mercado</t>
        </is>
      </c>
      <c r="Q82" t="inlineStr"/>
      <c r="R82" t="n">
        <v>6</v>
      </c>
      <c r="S82" t="inlineStr"/>
    </row>
    <row r="83">
      <c r="A83" t="inlineStr">
        <is>
          <t>Electrolux</t>
        </is>
      </c>
      <c r="B83" t="inlineStr">
        <is>
          <t>EWF01</t>
        </is>
      </c>
      <c r="C83" t="inlineStr"/>
      <c r="D83" s="2" t="n">
        <v>33</v>
      </c>
      <c r="E83" s="2">
        <f>D83*(1+Supuestos!$B$4)</f>
        <v/>
      </c>
      <c r="F83" s="2">
        <f>E83+Supuestos!$B$5</f>
        <v/>
      </c>
      <c r="G83" s="2">
        <f>ROUNDUP((F83+Supuestos!$B$3+Supuestos!$B$9)/(1-Supuestos!$B$2),0)-0.01</f>
        <v/>
      </c>
      <c r="H83" s="2">
        <f>ROUNDUP(MAX((F83+Supuestos!$B$3)/(1-Supuestos!$B$2-Supuestos!$B$8),(F83+Supuestos!$B$3+Supuestos!$B$7)/(1-Supuestos!$B$2)),0)-0.01</f>
        <v/>
      </c>
      <c r="I83" s="2" t="n"/>
      <c r="J83" s="3" t="n">
        <v>54.99</v>
      </c>
      <c r="K83" s="2">
        <f>J83-J83*Supuestos!$B$2-Supuestos!$B$3-F83</f>
        <v/>
      </c>
      <c r="L83" s="4">
        <f>K83/J83</f>
        <v/>
      </c>
      <c r="M83" s="2">
        <f>ROUNDUP(MAX(2*J83*0.92,(2*E83+Supuestos!$B$6+Supuestos!$B$3+8)/(1-Supuestos!$B$2)),0)-0.01</f>
        <v/>
      </c>
      <c r="N83" s="2">
        <f>M83-M83*Supuestos!$B$2-Supuestos!$B$3-2*E83-Supuestos!$B$6</f>
        <v/>
      </c>
      <c r="O83" t="inlineStr">
        <is>
          <t>Sin precio de mercado: precio objetivo</t>
        </is>
      </c>
      <c r="P83" t="inlineStr">
        <is>
          <t>Sin datos de mercado</t>
        </is>
      </c>
      <c r="Q83" t="inlineStr"/>
      <c r="R83" t="n">
        <v>6</v>
      </c>
      <c r="S83" t="inlineStr"/>
    </row>
    <row r="84">
      <c r="A84" t="inlineStr">
        <is>
          <t>Electrolux</t>
        </is>
      </c>
      <c r="B84" t="inlineStr">
        <is>
          <t>EWF02</t>
        </is>
      </c>
      <c r="C84" t="inlineStr"/>
      <c r="D84" s="2" t="n">
        <v>43.2</v>
      </c>
      <c r="E84" s="2">
        <f>D84*(1+Supuestos!$B$4)</f>
        <v/>
      </c>
      <c r="F84" s="2">
        <f>E84+Supuestos!$B$5</f>
        <v/>
      </c>
      <c r="G84" s="2">
        <f>ROUNDUP((F84+Supuestos!$B$3+Supuestos!$B$9)/(1-Supuestos!$B$2),0)-0.01</f>
        <v/>
      </c>
      <c r="H84" s="2">
        <f>ROUNDUP(MAX((F84+Supuestos!$B$3)/(1-Supuestos!$B$2-Supuestos!$B$8),(F84+Supuestos!$B$3+Supuestos!$B$7)/(1-Supuestos!$B$2)),0)-0.01</f>
        <v/>
      </c>
      <c r="I84" s="2" t="n"/>
      <c r="J84" s="3" t="n">
        <v>68.98999999999999</v>
      </c>
      <c r="K84" s="2">
        <f>J84-J84*Supuestos!$B$2-Supuestos!$B$3-F84</f>
        <v/>
      </c>
      <c r="L84" s="4">
        <f>K84/J84</f>
        <v/>
      </c>
      <c r="M84" s="2">
        <f>ROUNDUP(MAX(2*J84*0.92,(2*E84+Supuestos!$B$6+Supuestos!$B$3+8)/(1-Supuestos!$B$2)),0)-0.01</f>
        <v/>
      </c>
      <c r="N84" s="2">
        <f>M84-M84*Supuestos!$B$2-Supuestos!$B$3-2*E84-Supuestos!$B$6</f>
        <v/>
      </c>
      <c r="O84" t="inlineStr">
        <is>
          <t>Sin precio de mercado: precio objetivo</t>
        </is>
      </c>
      <c r="P84" t="inlineStr">
        <is>
          <t>Sin datos de mercado</t>
        </is>
      </c>
      <c r="Q84" t="inlineStr"/>
      <c r="R84" t="n">
        <v>2</v>
      </c>
      <c r="S84" t="inlineStr"/>
    </row>
    <row r="85">
      <c r="A85" t="inlineStr">
        <is>
          <t>Electrolux</t>
        </is>
      </c>
      <c r="B85" t="inlineStr">
        <is>
          <t>EWF2CBPA</t>
        </is>
      </c>
      <c r="C85" t="inlineStr"/>
      <c r="D85" s="2" t="n">
        <v>36</v>
      </c>
      <c r="E85" s="2">
        <f>D85*(1+Supuestos!$B$4)</f>
        <v/>
      </c>
      <c r="F85" s="2">
        <f>E85+Supuestos!$B$5</f>
        <v/>
      </c>
      <c r="G85" s="2">
        <f>ROUNDUP((F85+Supuestos!$B$3+Supuestos!$B$9)/(1-Supuestos!$B$2),0)-0.01</f>
        <v/>
      </c>
      <c r="H85" s="2">
        <f>ROUNDUP(MAX((F85+Supuestos!$B$3)/(1-Supuestos!$B$2-Supuestos!$B$8),(F85+Supuestos!$B$3+Supuestos!$B$7)/(1-Supuestos!$B$2)),0)-0.01</f>
        <v/>
      </c>
      <c r="I85" s="2" t="n"/>
      <c r="J85" s="3" t="n">
        <v>58.99</v>
      </c>
      <c r="K85" s="2">
        <f>J85-J85*Supuestos!$B$2-Supuestos!$B$3-F85</f>
        <v/>
      </c>
      <c r="L85" s="4">
        <f>K85/J85</f>
        <v/>
      </c>
      <c r="M85" s="2">
        <f>ROUNDUP(MAX(2*J85*0.92,(2*E85+Supuestos!$B$6+Supuestos!$B$3+8)/(1-Supuestos!$B$2)),0)-0.01</f>
        <v/>
      </c>
      <c r="N85" s="2">
        <f>M85-M85*Supuestos!$B$2-Supuestos!$B$3-2*E85-Supuestos!$B$6</f>
        <v/>
      </c>
      <c r="O85" t="inlineStr">
        <is>
          <t>Sin precio de mercado: precio objetivo</t>
        </is>
      </c>
      <c r="P85" t="inlineStr">
        <is>
          <t>Sin datos de mercado</t>
        </is>
      </c>
      <c r="Q85" t="inlineStr"/>
      <c r="R85" t="n">
        <v>6</v>
      </c>
      <c r="S85" t="inlineStr"/>
    </row>
    <row r="86">
      <c r="A86" t="inlineStr">
        <is>
          <t>Electrolux</t>
        </is>
      </c>
      <c r="B86" t="inlineStr">
        <is>
          <t>SCWF3CTO</t>
        </is>
      </c>
      <c r="C86" t="inlineStr"/>
      <c r="D86" s="2" t="n">
        <v>22.2</v>
      </c>
      <c r="E86" s="2">
        <f>D86*(1+Supuestos!$B$4)</f>
        <v/>
      </c>
      <c r="F86" s="2">
        <f>E86+Supuestos!$B$5</f>
        <v/>
      </c>
      <c r="G86" s="2">
        <f>ROUNDUP((F86+Supuestos!$B$3+Supuestos!$B$9)/(1-Supuestos!$B$2),0)-0.01</f>
        <v/>
      </c>
      <c r="H86" s="2">
        <f>ROUNDUP(MAX((F86+Supuestos!$B$3)/(1-Supuestos!$B$2-Supuestos!$B$8),(F86+Supuestos!$B$3+Supuestos!$B$7)/(1-Supuestos!$B$2)),0)-0.01</f>
        <v/>
      </c>
      <c r="I86" s="2" t="n"/>
      <c r="J86" s="3" t="n">
        <v>39.99</v>
      </c>
      <c r="K86" s="2">
        <f>J86-J86*Supuestos!$B$2-Supuestos!$B$3-F86</f>
        <v/>
      </c>
      <c r="L86" s="4">
        <f>K86/J86</f>
        <v/>
      </c>
      <c r="M86" s="2">
        <f>ROUNDUP(MAX(2*J86*0.92,(2*E86+Supuestos!$B$6+Supuestos!$B$3+8)/(1-Supuestos!$B$2)),0)-0.01</f>
        <v/>
      </c>
      <c r="N86" s="2">
        <f>M86-M86*Supuestos!$B$2-Supuestos!$B$3-2*E86-Supuestos!$B$6</f>
        <v/>
      </c>
      <c r="O86" t="inlineStr">
        <is>
          <t>Sin precio de mercado: precio objetivo</t>
        </is>
      </c>
      <c r="P86" t="inlineStr">
        <is>
          <t>Sin datos de mercado</t>
        </is>
      </c>
      <c r="Q86" t="inlineStr"/>
      <c r="R86" t="n">
        <v>6</v>
      </c>
      <c r="S86" t="inlineStr"/>
    </row>
    <row r="87">
      <c r="A87" t="inlineStr">
        <is>
          <t>Bosch</t>
        </is>
      </c>
      <c r="B87" t="inlineStr">
        <is>
          <t>BORPLFTR55 / 11032531</t>
        </is>
      </c>
      <c r="C87" t="inlineStr"/>
      <c r="D87" s="2" t="n">
        <v>36.5</v>
      </c>
      <c r="E87" s="2">
        <f>D87*(1+Supuestos!$B$4)</f>
        <v/>
      </c>
      <c r="F87" s="2">
        <f>E87+Supuestos!$B$5</f>
        <v/>
      </c>
      <c r="G87" s="2">
        <f>ROUNDUP((F87+Supuestos!$B$3+Supuestos!$B$9)/(1-Supuestos!$B$2),0)-0.01</f>
        <v/>
      </c>
      <c r="H87" s="2">
        <f>ROUNDUP(MAX((F87+Supuestos!$B$3)/(1-Supuestos!$B$2-Supuestos!$B$8),(F87+Supuestos!$B$3+Supuestos!$B$7)/(1-Supuestos!$B$2)),0)-0.01</f>
        <v/>
      </c>
      <c r="I87" s="2" t="n"/>
      <c r="J87" s="3" t="n">
        <v>59.99</v>
      </c>
      <c r="K87" s="2">
        <f>J87-J87*Supuestos!$B$2-Supuestos!$B$3-F87</f>
        <v/>
      </c>
      <c r="L87" s="4">
        <f>K87/J87</f>
        <v/>
      </c>
      <c r="M87" s="2">
        <f>ROUNDUP(MAX(2*J87*0.92,(2*E87+Supuestos!$B$6+Supuestos!$B$3+8)/(1-Supuestos!$B$2)),0)-0.01</f>
        <v/>
      </c>
      <c r="N87" s="2">
        <f>M87-M87*Supuestos!$B$2-Supuestos!$B$3-2*E87-Supuestos!$B$6</f>
        <v/>
      </c>
      <c r="O87" t="inlineStr">
        <is>
          <t>Sin precio de mercado: precio objetivo</t>
        </is>
      </c>
      <c r="P87" t="inlineStr">
        <is>
          <t>Sin datos de mercado</t>
        </is>
      </c>
      <c r="Q87" t="inlineStr"/>
      <c r="R87" t="n">
        <v>54</v>
      </c>
      <c r="S87" t="inlineStr">
        <is>
          <t>*Compatible with: Gaggenau - Model # RA450022, Part # 11032531 Thermador - Model # REPLFLTR55, Part # 11032531</t>
        </is>
      </c>
    </row>
    <row r="88">
      <c r="A88" t="inlineStr">
        <is>
          <t>Bosch</t>
        </is>
      </c>
      <c r="B88" t="inlineStr">
        <is>
          <t>BORPLFTR30 / 11034152</t>
        </is>
      </c>
      <c r="C88" t="inlineStr"/>
      <c r="D88" s="2" t="n">
        <v>36.5</v>
      </c>
      <c r="E88" s="2">
        <f>D88*(1+Supuestos!$B$4)</f>
        <v/>
      </c>
      <c r="F88" s="2">
        <f>E88+Supuestos!$B$5</f>
        <v/>
      </c>
      <c r="G88" s="2">
        <f>ROUNDUP((F88+Supuestos!$B$3+Supuestos!$B$9)/(1-Supuestos!$B$2),0)-0.01</f>
        <v/>
      </c>
      <c r="H88" s="2">
        <f>ROUNDUP(MAX((F88+Supuestos!$B$3)/(1-Supuestos!$B$2-Supuestos!$B$8),(F88+Supuestos!$B$3+Supuestos!$B$7)/(1-Supuestos!$B$2)),0)-0.01</f>
        <v/>
      </c>
      <c r="I88" s="2" t="n"/>
      <c r="J88" s="3" t="n">
        <v>59.99</v>
      </c>
      <c r="K88" s="2">
        <f>J88-J88*Supuestos!$B$2-Supuestos!$B$3-F88</f>
        <v/>
      </c>
      <c r="L88" s="4">
        <f>K88/J88</f>
        <v/>
      </c>
      <c r="M88" s="2">
        <f>ROUNDUP(MAX(2*J88*0.92,(2*E88+Supuestos!$B$6+Supuestos!$B$3+8)/(1-Supuestos!$B$2)),0)-0.01</f>
        <v/>
      </c>
      <c r="N88" s="2">
        <f>M88-M88*Supuestos!$B$2-Supuestos!$B$3-2*E88-Supuestos!$B$6</f>
        <v/>
      </c>
      <c r="O88" t="inlineStr">
        <is>
          <t>Sin precio de mercado: precio objetivo</t>
        </is>
      </c>
      <c r="P88" t="inlineStr">
        <is>
          <t>Sin datos de mercado</t>
        </is>
      </c>
      <c r="Q88" t="inlineStr"/>
      <c r="R88" t="n">
        <v>54</v>
      </c>
      <c r="S88" t="inlineStr">
        <is>
          <t>*Compatible with:  Gaggenau - Model # RA450021, Part #11034152 Thermador - Model # REPLFLTR30, Part # 11034152</t>
        </is>
      </c>
    </row>
    <row r="89">
      <c r="A89" t="inlineStr">
        <is>
          <t>LIEBHERR</t>
        </is>
      </c>
      <c r="B89" t="inlineStr">
        <is>
          <t>744000200.0</t>
        </is>
      </c>
      <c r="C89" t="inlineStr"/>
      <c r="D89" s="2" t="n">
        <v>83</v>
      </c>
      <c r="E89" s="2">
        <f>D89*(1+Supuestos!$B$4)</f>
        <v/>
      </c>
      <c r="F89" s="2">
        <f>E89+Supuestos!$B$5</f>
        <v/>
      </c>
      <c r="G89" s="2">
        <f>ROUNDUP((F89+Supuestos!$B$3+Supuestos!$B$9)/(1-Supuestos!$B$2),0)-0.01</f>
        <v/>
      </c>
      <c r="H89" s="2">
        <f>ROUNDUP(MAX((F89+Supuestos!$B$3)/(1-Supuestos!$B$2-Supuestos!$B$8),(F89+Supuestos!$B$3+Supuestos!$B$7)/(1-Supuestos!$B$2)),0)-0.01</f>
        <v/>
      </c>
      <c r="I89" s="2" t="n"/>
      <c r="J89" s="3" t="n">
        <v>122.99</v>
      </c>
      <c r="K89" s="2">
        <f>J89-J89*Supuestos!$B$2-Supuestos!$B$3-F89</f>
        <v/>
      </c>
      <c r="L89" s="4">
        <f>K89/J89</f>
        <v/>
      </c>
      <c r="M89" s="2">
        <f>ROUNDUP(MAX(2*J89*0.92,(2*E89+Supuestos!$B$6+Supuestos!$B$3+8)/(1-Supuestos!$B$2)),0)-0.01</f>
        <v/>
      </c>
      <c r="N89" s="2">
        <f>M89-M89*Supuestos!$B$2-Supuestos!$B$3-2*E89-Supuestos!$B$6</f>
        <v/>
      </c>
      <c r="O89" t="inlineStr">
        <is>
          <t>Sin precio de mercado: precio objetivo</t>
        </is>
      </c>
      <c r="P89" t="inlineStr">
        <is>
          <t>Sin datos de mercado</t>
        </is>
      </c>
      <c r="Q89" t="inlineStr"/>
      <c r="R89" t="n">
        <v>24</v>
      </c>
      <c r="S89" t="inlineStr"/>
    </row>
    <row r="90">
      <c r="A90" t="inlineStr">
        <is>
          <t>OMNIFILTER</t>
        </is>
      </c>
      <c r="B90" t="inlineStr">
        <is>
          <t>R200</t>
        </is>
      </c>
      <c r="C90" t="inlineStr"/>
      <c r="D90" s="2" t="n">
        <v>18.25</v>
      </c>
      <c r="E90" s="2">
        <f>D90*(1+Supuestos!$B$4)</f>
        <v/>
      </c>
      <c r="F90" s="2">
        <f>E90+Supuestos!$B$5</f>
        <v/>
      </c>
      <c r="G90" s="2">
        <f>ROUNDUP((F90+Supuestos!$B$3+Supuestos!$B$9)/(1-Supuestos!$B$2),0)-0.01</f>
        <v/>
      </c>
      <c r="H90" s="2">
        <f>ROUNDUP(MAX((F90+Supuestos!$B$3)/(1-Supuestos!$B$2-Supuestos!$B$8),(F90+Supuestos!$B$3+Supuestos!$B$7)/(1-Supuestos!$B$2)),0)-0.01</f>
        <v/>
      </c>
      <c r="I90" s="2" t="n"/>
      <c r="J90" s="3" t="n">
        <v>35.99</v>
      </c>
      <c r="K90" s="2">
        <f>J90-J90*Supuestos!$B$2-Supuestos!$B$3-F90</f>
        <v/>
      </c>
      <c r="L90" s="4">
        <f>K90/J90</f>
        <v/>
      </c>
      <c r="M90" s="2">
        <f>ROUNDUP(MAX(2*J90*0.92,(2*E90+Supuestos!$B$6+Supuestos!$B$3+8)/(1-Supuestos!$B$2)),0)-0.01</f>
        <v/>
      </c>
      <c r="N90" s="2">
        <f>M90-M90*Supuestos!$B$2-Supuestos!$B$3-2*E90-Supuestos!$B$6</f>
        <v/>
      </c>
      <c r="O90" t="inlineStr">
        <is>
          <t>Sin precio de mercado: precio objetivo</t>
        </is>
      </c>
      <c r="P90" t="inlineStr">
        <is>
          <t>Sin datos de mercado</t>
        </is>
      </c>
      <c r="Q90" t="inlineStr"/>
      <c r="R90" t="n">
        <v>6</v>
      </c>
      <c r="S90" t="inlineStr"/>
    </row>
    <row r="91">
      <c r="A91" t="inlineStr">
        <is>
          <t>Culligan</t>
        </is>
      </c>
      <c r="B91" t="inlineStr">
        <is>
          <t>IC-EZ-3</t>
        </is>
      </c>
      <c r="C91" t="inlineStr"/>
      <c r="D91" s="2" t="n">
        <v>60</v>
      </c>
      <c r="E91" s="2">
        <f>D91*(1+Supuestos!$B$4)</f>
        <v/>
      </c>
      <c r="F91" s="2">
        <f>E91+Supuestos!$B$5</f>
        <v/>
      </c>
      <c r="G91" s="2">
        <f>ROUNDUP((F91+Supuestos!$B$3+Supuestos!$B$9)/(1-Supuestos!$B$2),0)-0.01</f>
        <v/>
      </c>
      <c r="H91" s="2">
        <f>ROUNDUP(MAX((F91+Supuestos!$B$3)/(1-Supuestos!$B$2-Supuestos!$B$8),(F91+Supuestos!$B$3+Supuestos!$B$7)/(1-Supuestos!$B$2)),0)-0.01</f>
        <v/>
      </c>
      <c r="I91" s="2" t="n"/>
      <c r="J91" s="3" t="n">
        <v>91.98999999999999</v>
      </c>
      <c r="K91" s="2">
        <f>J91-J91*Supuestos!$B$2-Supuestos!$B$3-F91</f>
        <v/>
      </c>
      <c r="L91" s="4">
        <f>K91/J91</f>
        <v/>
      </c>
      <c r="M91" s="2">
        <f>ROUNDUP(MAX(2*J91*0.92,(2*E91+Supuestos!$B$6+Supuestos!$B$3+8)/(1-Supuestos!$B$2)),0)-0.01</f>
        <v/>
      </c>
      <c r="N91" s="2">
        <f>M91-M91*Supuestos!$B$2-Supuestos!$B$3-2*E91-Supuestos!$B$6</f>
        <v/>
      </c>
      <c r="O91" t="inlineStr">
        <is>
          <t>Sin precio de mercado: precio objetivo</t>
        </is>
      </c>
      <c r="P91" t="inlineStr">
        <is>
          <t>Sin datos de mercado</t>
        </is>
      </c>
      <c r="Q91" t="inlineStr"/>
      <c r="R91" t="n">
        <v>6</v>
      </c>
      <c r="S91" t="inlineStr"/>
    </row>
    <row r="92">
      <c r="A92" t="inlineStr">
        <is>
          <t>Culligan</t>
        </is>
      </c>
      <c r="B92" t="inlineStr">
        <is>
          <t>IC-EZ-1</t>
        </is>
      </c>
      <c r="C92" t="inlineStr"/>
      <c r="D92" s="2" t="n">
        <v>32</v>
      </c>
      <c r="E92" s="2">
        <f>D92*(1+Supuestos!$B$4)</f>
        <v/>
      </c>
      <c r="F92" s="2">
        <f>E92+Supuestos!$B$5</f>
        <v/>
      </c>
      <c r="G92" s="2">
        <f>ROUNDUP((F92+Supuestos!$B$3+Supuestos!$B$9)/(1-Supuestos!$B$2),0)-0.01</f>
        <v/>
      </c>
      <c r="H92" s="2">
        <f>ROUNDUP(MAX((F92+Supuestos!$B$3)/(1-Supuestos!$B$2-Supuestos!$B$8),(F92+Supuestos!$B$3+Supuestos!$B$7)/(1-Supuestos!$B$2)),0)-0.01</f>
        <v/>
      </c>
      <c r="I92" s="2" t="n"/>
      <c r="J92" s="3" t="n">
        <v>53.99</v>
      </c>
      <c r="K92" s="2">
        <f>J92-J92*Supuestos!$B$2-Supuestos!$B$3-F92</f>
        <v/>
      </c>
      <c r="L92" s="4">
        <f>K92/J92</f>
        <v/>
      </c>
      <c r="M92" s="2">
        <f>ROUNDUP(MAX(2*J92*0.92,(2*E92+Supuestos!$B$6+Supuestos!$B$3+8)/(1-Supuestos!$B$2)),0)-0.01</f>
        <v/>
      </c>
      <c r="N92" s="2">
        <f>M92-M92*Supuestos!$B$2-Supuestos!$B$3-2*E92-Supuestos!$B$6</f>
        <v/>
      </c>
      <c r="O92" t="inlineStr">
        <is>
          <t>Sin precio de mercado: precio objetivo</t>
        </is>
      </c>
      <c r="P92" t="inlineStr">
        <is>
          <t>Sin datos de mercado</t>
        </is>
      </c>
      <c r="Q92" t="inlineStr"/>
      <c r="R92" t="n">
        <v>6</v>
      </c>
      <c r="S92" t="inlineStr"/>
    </row>
    <row r="93">
      <c r="A93" t="inlineStr">
        <is>
          <t>Everpure</t>
        </is>
      </c>
      <c r="B93" t="inlineStr">
        <is>
          <t>Everpure H300 Cartridge EV927072</t>
        </is>
      </c>
      <c r="C93" t="inlineStr"/>
      <c r="D93" s="2" t="n">
        <v>102</v>
      </c>
      <c r="E93" s="2">
        <f>D93*(1+Supuestos!$B$4)</f>
        <v/>
      </c>
      <c r="F93" s="2">
        <f>E93+Supuestos!$B$5</f>
        <v/>
      </c>
      <c r="G93" s="2">
        <f>ROUNDUP((F93+Supuestos!$B$3+Supuestos!$B$9)/(1-Supuestos!$B$2),0)-0.01</f>
        <v/>
      </c>
      <c r="H93" s="2">
        <f>ROUNDUP(MAX((F93+Supuestos!$B$3)/(1-Supuestos!$B$2-Supuestos!$B$8),(F93+Supuestos!$B$3+Supuestos!$B$7)/(1-Supuestos!$B$2)),0)-0.01</f>
        <v/>
      </c>
      <c r="I93" s="2" t="n"/>
      <c r="J93" s="3" t="n">
        <v>148.99</v>
      </c>
      <c r="K93" s="2">
        <f>J93-J93*Supuestos!$B$2-Supuestos!$B$3-F93</f>
        <v/>
      </c>
      <c r="L93" s="4">
        <f>K93/J93</f>
        <v/>
      </c>
      <c r="M93" s="2">
        <f>ROUNDUP(MAX(2*J93*0.92,(2*E93+Supuestos!$B$6+Supuestos!$B$3+8)/(1-Supuestos!$B$2)),0)-0.01</f>
        <v/>
      </c>
      <c r="N93" s="2">
        <f>M93-M93*Supuestos!$B$2-Supuestos!$B$3-2*E93-Supuestos!$B$6</f>
        <v/>
      </c>
      <c r="O93" t="inlineStr">
        <is>
          <t>Sin precio de mercado: precio objetivo</t>
        </is>
      </c>
      <c r="P93" t="inlineStr">
        <is>
          <t>Sin datos de mercado</t>
        </is>
      </c>
      <c r="Q93" t="inlineStr"/>
      <c r="R93" t="n">
        <v>6</v>
      </c>
      <c r="S93" t="inlineStr"/>
    </row>
    <row r="94">
      <c r="A94" t="inlineStr">
        <is>
          <t>Everpure</t>
        </is>
      </c>
      <c r="B94" t="inlineStr">
        <is>
          <t>Everpure H300 System EV927076</t>
        </is>
      </c>
      <c r="C94" t="inlineStr"/>
      <c r="D94" s="2" t="n">
        <v>260</v>
      </c>
      <c r="E94" s="2">
        <f>D94*(1+Supuestos!$B$4)</f>
        <v/>
      </c>
      <c r="F94" s="2">
        <f>E94+Supuestos!$B$5</f>
        <v/>
      </c>
      <c r="G94" s="2">
        <f>ROUNDUP((F94+Supuestos!$B$3+Supuestos!$B$9)/(1-Supuestos!$B$2),0)-0.01</f>
        <v/>
      </c>
      <c r="H94" s="2">
        <f>ROUNDUP(MAX((F94+Supuestos!$B$3)/(1-Supuestos!$B$2-Supuestos!$B$8),(F94+Supuestos!$B$3+Supuestos!$B$7)/(1-Supuestos!$B$2)),0)-0.01</f>
        <v/>
      </c>
      <c r="I94" s="2" t="n"/>
      <c r="J94" s="3" t="n">
        <v>362.99</v>
      </c>
      <c r="K94" s="2">
        <f>J94-J94*Supuestos!$B$2-Supuestos!$B$3-F94</f>
        <v/>
      </c>
      <c r="L94" s="4">
        <f>K94/J94</f>
        <v/>
      </c>
      <c r="M94" s="2">
        <f>ROUNDUP(MAX(2*J94*0.92,(2*E94+Supuestos!$B$6+Supuestos!$B$3+8)/(1-Supuestos!$B$2)),0)-0.01</f>
        <v/>
      </c>
      <c r="N94" s="2">
        <f>M94-M94*Supuestos!$B$2-Supuestos!$B$3-2*E94-Supuestos!$B$6</f>
        <v/>
      </c>
      <c r="O94" t="inlineStr">
        <is>
          <t>Sin precio de mercado: precio objetivo</t>
        </is>
      </c>
      <c r="P94" t="inlineStr">
        <is>
          <t>Sin datos de mercado</t>
        </is>
      </c>
      <c r="Q94" t="inlineStr"/>
      <c r="R94" t="n">
        <v>1</v>
      </c>
      <c r="S94" t="inlineStr"/>
    </row>
    <row r="95">
      <c r="A95" t="inlineStr">
        <is>
          <t>Everpure</t>
        </is>
      </c>
      <c r="B95" t="inlineStr">
        <is>
          <t>Everpure H300 NXT Cartridge EV927441</t>
        </is>
      </c>
      <c r="C95" t="inlineStr"/>
      <c r="D95" s="2" t="n">
        <v>103</v>
      </c>
      <c r="E95" s="2">
        <f>D95*(1+Supuestos!$B$4)</f>
        <v/>
      </c>
      <c r="F95" s="2">
        <f>E95+Supuestos!$B$5</f>
        <v/>
      </c>
      <c r="G95" s="2">
        <f>ROUNDUP((F95+Supuestos!$B$3+Supuestos!$B$9)/(1-Supuestos!$B$2),0)-0.01</f>
        <v/>
      </c>
      <c r="H95" s="2">
        <f>ROUNDUP(MAX((F95+Supuestos!$B$3)/(1-Supuestos!$B$2-Supuestos!$B$8),(F95+Supuestos!$B$3+Supuestos!$B$7)/(1-Supuestos!$B$2)),0)-0.01</f>
        <v/>
      </c>
      <c r="I95" s="2" t="n"/>
      <c r="J95" s="3" t="n">
        <v>149.99</v>
      </c>
      <c r="K95" s="2">
        <f>J95-J95*Supuestos!$B$2-Supuestos!$B$3-F95</f>
        <v/>
      </c>
      <c r="L95" s="4">
        <f>K95/J95</f>
        <v/>
      </c>
      <c r="M95" s="2">
        <f>ROUNDUP(MAX(2*J95*0.92,(2*E95+Supuestos!$B$6+Supuestos!$B$3+8)/(1-Supuestos!$B$2)),0)-0.01</f>
        <v/>
      </c>
      <c r="N95" s="2">
        <f>M95-M95*Supuestos!$B$2-Supuestos!$B$3-2*E95-Supuestos!$B$6</f>
        <v/>
      </c>
      <c r="O95" t="inlineStr">
        <is>
          <t>Sin precio de mercado: precio objetivo</t>
        </is>
      </c>
      <c r="P95" t="inlineStr">
        <is>
          <t>Sin datos de mercado</t>
        </is>
      </c>
      <c r="Q95" t="inlineStr"/>
      <c r="R95" t="n">
        <v>6</v>
      </c>
      <c r="S95" t="inlineStr"/>
    </row>
    <row r="96">
      <c r="A96" t="inlineStr">
        <is>
          <t>Everpure</t>
        </is>
      </c>
      <c r="B96" t="inlineStr">
        <is>
          <t>Everpure H300 HSD Cartridge EV927075</t>
        </is>
      </c>
      <c r="C96" t="inlineStr"/>
      <c r="D96" s="2" t="n">
        <v>103</v>
      </c>
      <c r="E96" s="2">
        <f>D96*(1+Supuestos!$B$4)</f>
        <v/>
      </c>
      <c r="F96" s="2">
        <f>E96+Supuestos!$B$5</f>
        <v/>
      </c>
      <c r="G96" s="2">
        <f>ROUNDUP((F96+Supuestos!$B$3+Supuestos!$B$9)/(1-Supuestos!$B$2),0)-0.01</f>
        <v/>
      </c>
      <c r="H96" s="2">
        <f>ROUNDUP(MAX((F96+Supuestos!$B$3)/(1-Supuestos!$B$2-Supuestos!$B$8),(F96+Supuestos!$B$3+Supuestos!$B$7)/(1-Supuestos!$B$2)),0)-0.01</f>
        <v/>
      </c>
      <c r="I96" s="2" t="n"/>
      <c r="J96" s="3" t="n">
        <v>149.99</v>
      </c>
      <c r="K96" s="2">
        <f>J96-J96*Supuestos!$B$2-Supuestos!$B$3-F96</f>
        <v/>
      </c>
      <c r="L96" s="4">
        <f>K96/J96</f>
        <v/>
      </c>
      <c r="M96" s="2">
        <f>ROUNDUP(MAX(2*J96*0.92,(2*E96+Supuestos!$B$6+Supuestos!$B$3+8)/(1-Supuestos!$B$2)),0)-0.01</f>
        <v/>
      </c>
      <c r="N96" s="2">
        <f>M96-M96*Supuestos!$B$2-Supuestos!$B$3-2*E96-Supuestos!$B$6</f>
        <v/>
      </c>
      <c r="O96" t="inlineStr">
        <is>
          <t>Sin precio de mercado: precio objetivo</t>
        </is>
      </c>
      <c r="P96" t="inlineStr">
        <is>
          <t>Sin datos de mercado</t>
        </is>
      </c>
      <c r="Q96" t="inlineStr"/>
      <c r="R96" t="n">
        <v>6</v>
      </c>
      <c r="S96" t="inlineStr"/>
    </row>
    <row r="97">
      <c r="A97" t="inlineStr">
        <is>
          <t>Everpure</t>
        </is>
      </c>
      <c r="B97" t="inlineStr">
        <is>
          <t>Everpure H1200 System EV928200</t>
        </is>
      </c>
      <c r="C97" t="inlineStr"/>
      <c r="D97" s="2" t="n">
        <v>360</v>
      </c>
      <c r="E97" s="2">
        <f>D97*(1+Supuestos!$B$4)</f>
        <v/>
      </c>
      <c r="F97" s="2">
        <f>E97+Supuestos!$B$5</f>
        <v/>
      </c>
      <c r="G97" s="2">
        <f>ROUNDUP((F97+Supuestos!$B$3+Supuestos!$B$9)/(1-Supuestos!$B$2),0)-0.01</f>
        <v/>
      </c>
      <c r="H97" s="2">
        <f>ROUNDUP(MAX((F97+Supuestos!$B$3)/(1-Supuestos!$B$2-Supuestos!$B$8),(F97+Supuestos!$B$3+Supuestos!$B$7)/(1-Supuestos!$B$2)),0)-0.01</f>
        <v/>
      </c>
      <c r="I97" s="2" t="n"/>
      <c r="J97" s="3" t="n">
        <v>498.99</v>
      </c>
      <c r="K97" s="2">
        <f>J97-J97*Supuestos!$B$2-Supuestos!$B$3-F97</f>
        <v/>
      </c>
      <c r="L97" s="4">
        <f>K97/J97</f>
        <v/>
      </c>
      <c r="M97" s="2">
        <f>ROUNDUP(MAX(2*J97*0.92,(2*E97+Supuestos!$B$6+Supuestos!$B$3+8)/(1-Supuestos!$B$2)),0)-0.01</f>
        <v/>
      </c>
      <c r="N97" s="2">
        <f>M97-M97*Supuestos!$B$2-Supuestos!$B$3-2*E97-Supuestos!$B$6</f>
        <v/>
      </c>
      <c r="O97" t="inlineStr">
        <is>
          <t>Sin precio de mercado: precio objetivo</t>
        </is>
      </c>
      <c r="P97" t="inlineStr">
        <is>
          <t>Sin datos de mercado</t>
        </is>
      </c>
      <c r="Q97" t="inlineStr"/>
      <c r="R97" t="n">
        <v>1</v>
      </c>
      <c r="S97" t="inlineStr"/>
    </row>
    <row r="98">
      <c r="A98" t="inlineStr">
        <is>
          <t>Everpure</t>
        </is>
      </c>
      <c r="B98" t="inlineStr">
        <is>
          <t>Everpure H1200 Cartridge kit EV928201</t>
        </is>
      </c>
      <c r="C98" t="inlineStr"/>
      <c r="D98" s="2" t="n">
        <v>186</v>
      </c>
      <c r="E98" s="2">
        <f>D98*(1+Supuestos!$B$4)</f>
        <v/>
      </c>
      <c r="F98" s="2">
        <f>E98+Supuestos!$B$5</f>
        <v/>
      </c>
      <c r="G98" s="2">
        <f>ROUNDUP((F98+Supuestos!$B$3+Supuestos!$B$9)/(1-Supuestos!$B$2),0)-0.01</f>
        <v/>
      </c>
      <c r="H98" s="2">
        <f>ROUNDUP(MAX((F98+Supuestos!$B$3)/(1-Supuestos!$B$2-Supuestos!$B$8),(F98+Supuestos!$B$3+Supuestos!$B$7)/(1-Supuestos!$B$2)),0)-0.01</f>
        <v/>
      </c>
      <c r="I98" s="2" t="n"/>
      <c r="J98" s="3" t="n">
        <v>262.99</v>
      </c>
      <c r="K98" s="2">
        <f>J98-J98*Supuestos!$B$2-Supuestos!$B$3-F98</f>
        <v/>
      </c>
      <c r="L98" s="4">
        <f>K98/J98</f>
        <v/>
      </c>
      <c r="M98" s="2">
        <f>ROUNDUP(MAX(2*J98*0.92,(2*E98+Supuestos!$B$6+Supuestos!$B$3+8)/(1-Supuestos!$B$2)),0)-0.01</f>
        <v/>
      </c>
      <c r="N98" s="2">
        <f>M98-M98*Supuestos!$B$2-Supuestos!$B$3-2*E98-Supuestos!$B$6</f>
        <v/>
      </c>
      <c r="O98" t="inlineStr">
        <is>
          <t>Sin precio de mercado: precio objetivo</t>
        </is>
      </c>
      <c r="P98" t="inlineStr">
        <is>
          <t>Sin datos de mercado</t>
        </is>
      </c>
      <c r="Q98" t="inlineStr"/>
      <c r="R98" t="n">
        <v>6</v>
      </c>
      <c r="S98" t="inlineStr"/>
    </row>
    <row r="99">
      <c r="A99" t="inlineStr">
        <is>
          <t>Everpure</t>
        </is>
      </c>
      <c r="B99" t="inlineStr">
        <is>
          <t>Everpure H104 Cartridge EV961211</t>
        </is>
      </c>
      <c r="C99" t="inlineStr"/>
      <c r="D99" s="2" t="n">
        <v>72</v>
      </c>
      <c r="E99" s="2">
        <f>D99*(1+Supuestos!$B$4)</f>
        <v/>
      </c>
      <c r="F99" s="2">
        <f>E99+Supuestos!$B$5</f>
        <v/>
      </c>
      <c r="G99" s="2">
        <f>ROUNDUP((F99+Supuestos!$B$3+Supuestos!$B$9)/(1-Supuestos!$B$2),0)-0.01</f>
        <v/>
      </c>
      <c r="H99" s="2">
        <f>ROUNDUP(MAX((F99+Supuestos!$B$3)/(1-Supuestos!$B$2-Supuestos!$B$8),(F99+Supuestos!$B$3+Supuestos!$B$7)/(1-Supuestos!$B$2)),0)-0.01</f>
        <v/>
      </c>
      <c r="I99" s="2" t="n"/>
      <c r="J99" s="3" t="n">
        <v>107.99</v>
      </c>
      <c r="K99" s="2">
        <f>J99-J99*Supuestos!$B$2-Supuestos!$B$3-F99</f>
        <v/>
      </c>
      <c r="L99" s="4">
        <f>K99/J99</f>
        <v/>
      </c>
      <c r="M99" s="2">
        <f>ROUNDUP(MAX(2*J99*0.92,(2*E99+Supuestos!$B$6+Supuestos!$B$3+8)/(1-Supuestos!$B$2)),0)-0.01</f>
        <v/>
      </c>
      <c r="N99" s="2">
        <f>M99-M99*Supuestos!$B$2-Supuestos!$B$3-2*E99-Supuestos!$B$6</f>
        <v/>
      </c>
      <c r="O99" t="inlineStr">
        <is>
          <t>Sin precio de mercado: precio objetivo</t>
        </is>
      </c>
      <c r="P99" t="inlineStr">
        <is>
          <t>Sin datos de mercado</t>
        </is>
      </c>
      <c r="Q99" t="inlineStr"/>
      <c r="R99" t="n">
        <v>6</v>
      </c>
      <c r="S99" t="inlineStr"/>
    </row>
    <row r="100">
      <c r="A100" t="inlineStr">
        <is>
          <t>Everpure</t>
        </is>
      </c>
      <c r="B100" t="inlineStr">
        <is>
          <t>Everpure H104 System EV926271</t>
        </is>
      </c>
      <c r="C100" t="inlineStr"/>
      <c r="D100" s="2" t="n">
        <v>201</v>
      </c>
      <c r="E100" s="2">
        <f>D100*(1+Supuestos!$B$4)</f>
        <v/>
      </c>
      <c r="F100" s="2">
        <f>E100+Supuestos!$B$5</f>
        <v/>
      </c>
      <c r="G100" s="2">
        <f>ROUNDUP((F100+Supuestos!$B$3+Supuestos!$B$9)/(1-Supuestos!$B$2),0)-0.01</f>
        <v/>
      </c>
      <c r="H100" s="2">
        <f>ROUNDUP(MAX((F100+Supuestos!$B$3)/(1-Supuestos!$B$2-Supuestos!$B$8),(F100+Supuestos!$B$3+Supuestos!$B$7)/(1-Supuestos!$B$2)),0)-0.01</f>
        <v/>
      </c>
      <c r="I100" s="2" t="n"/>
      <c r="J100" s="3" t="n">
        <v>282.99</v>
      </c>
      <c r="K100" s="2">
        <f>J100-J100*Supuestos!$B$2-Supuestos!$B$3-F100</f>
        <v/>
      </c>
      <c r="L100" s="4">
        <f>K100/J100</f>
        <v/>
      </c>
      <c r="M100" s="2">
        <f>ROUNDUP(MAX(2*J100*0.92,(2*E100+Supuestos!$B$6+Supuestos!$B$3+8)/(1-Supuestos!$B$2)),0)-0.01</f>
        <v/>
      </c>
      <c r="N100" s="2">
        <f>M100-M100*Supuestos!$B$2-Supuestos!$B$3-2*E100-Supuestos!$B$6</f>
        <v/>
      </c>
      <c r="O100" t="inlineStr">
        <is>
          <t>Sin precio de mercado: precio objetivo</t>
        </is>
      </c>
      <c r="P100" t="inlineStr">
        <is>
          <t>Sin datos de mercado</t>
        </is>
      </c>
      <c r="Q100" t="inlineStr"/>
      <c r="R100" t="n">
        <v>1</v>
      </c>
      <c r="S100" t="inlineStr"/>
    </row>
    <row r="101">
      <c r="A101" t="inlineStr">
        <is>
          <t>Everpure</t>
        </is>
      </c>
      <c r="B101" t="inlineStr">
        <is>
          <t>Everpure H54 Cartridge EV925268</t>
        </is>
      </c>
      <c r="C101" t="inlineStr"/>
      <c r="D101" s="2" t="n">
        <v>64</v>
      </c>
      <c r="E101" s="2">
        <f>D101*(1+Supuestos!$B$4)</f>
        <v/>
      </c>
      <c r="F101" s="2">
        <f>E101+Supuestos!$B$5</f>
        <v/>
      </c>
      <c r="G101" s="2">
        <f>ROUNDUP((F101+Supuestos!$B$3+Supuestos!$B$9)/(1-Supuestos!$B$2),0)-0.01</f>
        <v/>
      </c>
      <c r="H101" s="2">
        <f>ROUNDUP(MAX((F101+Supuestos!$B$3)/(1-Supuestos!$B$2-Supuestos!$B$8),(F101+Supuestos!$B$3+Supuestos!$B$7)/(1-Supuestos!$B$2)),0)-0.01</f>
        <v/>
      </c>
      <c r="I101" s="2" t="n"/>
      <c r="J101" s="3" t="n">
        <v>96.98999999999999</v>
      </c>
      <c r="K101" s="2">
        <f>J101-J101*Supuestos!$B$2-Supuestos!$B$3-F101</f>
        <v/>
      </c>
      <c r="L101" s="4">
        <f>K101/J101</f>
        <v/>
      </c>
      <c r="M101" s="2">
        <f>ROUNDUP(MAX(2*J101*0.92,(2*E101+Supuestos!$B$6+Supuestos!$B$3+8)/(1-Supuestos!$B$2)),0)-0.01</f>
        <v/>
      </c>
      <c r="N101" s="2">
        <f>M101-M101*Supuestos!$B$2-Supuestos!$B$3-2*E101-Supuestos!$B$6</f>
        <v/>
      </c>
      <c r="O101" t="inlineStr">
        <is>
          <t>Sin precio de mercado: precio objetivo</t>
        </is>
      </c>
      <c r="P101" t="inlineStr">
        <is>
          <t>Sin datos de mercado</t>
        </is>
      </c>
      <c r="Q101" t="inlineStr"/>
      <c r="R101" t="n">
        <v>6</v>
      </c>
      <c r="S101" t="inlineStr"/>
    </row>
    <row r="102">
      <c r="A102" t="inlineStr">
        <is>
          <t>Everpure</t>
        </is>
      </c>
      <c r="B102" t="inlineStr">
        <is>
          <t>Everpure H54 System EV925267</t>
        </is>
      </c>
      <c r="C102" t="inlineStr"/>
      <c r="D102" s="2" t="n">
        <v>219</v>
      </c>
      <c r="E102" s="2">
        <f>D102*(1+Supuestos!$B$4)</f>
        <v/>
      </c>
      <c r="F102" s="2">
        <f>E102+Supuestos!$B$5</f>
        <v/>
      </c>
      <c r="G102" s="2">
        <f>ROUNDUP((F102+Supuestos!$B$3+Supuestos!$B$9)/(1-Supuestos!$B$2),0)-0.01</f>
        <v/>
      </c>
      <c r="H102" s="2">
        <f>ROUNDUP(MAX((F102+Supuestos!$B$3)/(1-Supuestos!$B$2-Supuestos!$B$8),(F102+Supuestos!$B$3+Supuestos!$B$7)/(1-Supuestos!$B$2)),0)-0.01</f>
        <v/>
      </c>
      <c r="I102" s="2" t="n"/>
      <c r="J102" s="3" t="n">
        <v>306.99</v>
      </c>
      <c r="K102" s="2">
        <f>J102-J102*Supuestos!$B$2-Supuestos!$B$3-F102</f>
        <v/>
      </c>
      <c r="L102" s="4">
        <f>K102/J102</f>
        <v/>
      </c>
      <c r="M102" s="2">
        <f>ROUNDUP(MAX(2*J102*0.92,(2*E102+Supuestos!$B$6+Supuestos!$B$3+8)/(1-Supuestos!$B$2)),0)-0.01</f>
        <v/>
      </c>
      <c r="N102" s="2">
        <f>M102-M102*Supuestos!$B$2-Supuestos!$B$3-2*E102-Supuestos!$B$6</f>
        <v/>
      </c>
      <c r="O102" t="inlineStr">
        <is>
          <t>Sin precio de mercado: precio objetivo</t>
        </is>
      </c>
      <c r="P102" t="inlineStr">
        <is>
          <t>Sin datos de mercado</t>
        </is>
      </c>
      <c r="Q102" t="inlineStr"/>
      <c r="R102" t="n">
        <v>1</v>
      </c>
      <c r="S102" t="inlineStr"/>
    </row>
    <row r="103">
      <c r="A103" t="inlineStr">
        <is>
          <t>Everpure</t>
        </is>
      </c>
      <c r="B103" t="inlineStr">
        <is>
          <t>Everpure EV953426</t>
        </is>
      </c>
      <c r="C103" t="inlineStr"/>
      <c r="D103" s="2" t="n">
        <v>12.44</v>
      </c>
      <c r="E103" s="2">
        <f>D103*(1+Supuestos!$B$4)</f>
        <v/>
      </c>
      <c r="F103" s="2">
        <f>E103+Supuestos!$B$5</f>
        <v/>
      </c>
      <c r="G103" s="2">
        <f>ROUNDUP((F103+Supuestos!$B$3+Supuestos!$B$9)/(1-Supuestos!$B$2),0)-0.01</f>
        <v/>
      </c>
      <c r="H103" s="2">
        <f>ROUNDUP(MAX((F103+Supuestos!$B$3)/(1-Supuestos!$B$2-Supuestos!$B$8),(F103+Supuestos!$B$3+Supuestos!$B$7)/(1-Supuestos!$B$2)),0)-0.01</f>
        <v/>
      </c>
      <c r="I103" s="2" t="n"/>
      <c r="J103" s="3" t="n">
        <v>28.99</v>
      </c>
      <c r="K103" s="2">
        <f>J103-J103*Supuestos!$B$2-Supuestos!$B$3-F103</f>
        <v/>
      </c>
      <c r="L103" s="4">
        <f>K103/J103</f>
        <v/>
      </c>
      <c r="M103" s="2">
        <f>ROUNDUP(MAX(2*J103*0.92,(2*E103+Supuestos!$B$6+Supuestos!$B$3+8)/(1-Supuestos!$B$2)),0)-0.01</f>
        <v/>
      </c>
      <c r="N103" s="2">
        <f>M103-M103*Supuestos!$B$2-Supuestos!$B$3-2*E103-Supuestos!$B$6</f>
        <v/>
      </c>
      <c r="O103" t="inlineStr">
        <is>
          <t>Sin precio de mercado: precio objetivo</t>
        </is>
      </c>
      <c r="P103" t="inlineStr">
        <is>
          <t>Sin datos de mercado</t>
        </is>
      </c>
      <c r="Q103" t="inlineStr"/>
      <c r="R103" t="n">
        <v>6</v>
      </c>
      <c r="S103" t="inlineStr"/>
    </row>
    <row r="104">
      <c r="A104" t="inlineStr">
        <is>
          <t>Midea</t>
        </is>
      </c>
      <c r="B104" t="inlineStr">
        <is>
          <t>MIWF6200</t>
        </is>
      </c>
      <c r="C104" t="inlineStr"/>
      <c r="D104" s="2" t="n">
        <v>36</v>
      </c>
      <c r="E104" s="2">
        <f>D104*(1+Supuestos!$B$4)</f>
        <v/>
      </c>
      <c r="F104" s="2">
        <f>E104+Supuestos!$B$5</f>
        <v/>
      </c>
      <c r="G104" s="2">
        <f>ROUNDUP((F104+Supuestos!$B$3+Supuestos!$B$9)/(1-Supuestos!$B$2),0)-0.01</f>
        <v/>
      </c>
      <c r="H104" s="2">
        <f>ROUNDUP(MAX((F104+Supuestos!$B$3)/(1-Supuestos!$B$2-Supuestos!$B$8),(F104+Supuestos!$B$3+Supuestos!$B$7)/(1-Supuestos!$B$2)),0)-0.01</f>
        <v/>
      </c>
      <c r="I104" s="2" t="n"/>
      <c r="J104" s="3" t="n">
        <v>58.99</v>
      </c>
      <c r="K104" s="2">
        <f>J104-J104*Supuestos!$B$2-Supuestos!$B$3-F104</f>
        <v/>
      </c>
      <c r="L104" s="4">
        <f>K104/J104</f>
        <v/>
      </c>
      <c r="M104" s="2">
        <f>ROUNDUP(MAX(2*J104*0.92,(2*E104+Supuestos!$B$6+Supuestos!$B$3+8)/(1-Supuestos!$B$2)),0)-0.01</f>
        <v/>
      </c>
      <c r="N104" s="2">
        <f>M104-M104*Supuestos!$B$2-Supuestos!$B$3-2*E104-Supuestos!$B$6</f>
        <v/>
      </c>
      <c r="O104" t="inlineStr">
        <is>
          <t>Sin precio de mercado: precio objetivo</t>
        </is>
      </c>
      <c r="P104" t="inlineStr">
        <is>
          <t>Sin datos de mercado</t>
        </is>
      </c>
      <c r="Q104" t="inlineStr"/>
      <c r="R104" t="n">
        <v>20</v>
      </c>
      <c r="S104" t="inlineStr"/>
    </row>
    <row r="105">
      <c r="A105" t="inlineStr">
        <is>
          <t>Midea</t>
        </is>
      </c>
      <c r="B105" t="inlineStr">
        <is>
          <t>MIWF8200</t>
        </is>
      </c>
      <c r="C105" t="inlineStr"/>
      <c r="D105" s="2" t="n">
        <v>39</v>
      </c>
      <c r="E105" s="2">
        <f>D105*(1+Supuestos!$B$4)</f>
        <v/>
      </c>
      <c r="F105" s="2">
        <f>E105+Supuestos!$B$5</f>
        <v/>
      </c>
      <c r="G105" s="2">
        <f>ROUNDUP((F105+Supuestos!$B$3+Supuestos!$B$9)/(1-Supuestos!$B$2),0)-0.01</f>
        <v/>
      </c>
      <c r="H105" s="2">
        <f>ROUNDUP(MAX((F105+Supuestos!$B$3)/(1-Supuestos!$B$2-Supuestos!$B$8),(F105+Supuestos!$B$3+Supuestos!$B$7)/(1-Supuestos!$B$2)),0)-0.01</f>
        <v/>
      </c>
      <c r="I105" s="2" t="n"/>
      <c r="J105" s="3" t="n">
        <v>62.99</v>
      </c>
      <c r="K105" s="2">
        <f>J105-J105*Supuestos!$B$2-Supuestos!$B$3-F105</f>
        <v/>
      </c>
      <c r="L105" s="4">
        <f>K105/J105</f>
        <v/>
      </c>
      <c r="M105" s="2">
        <f>ROUNDUP(MAX(2*J105*0.92,(2*E105+Supuestos!$B$6+Supuestos!$B$3+8)/(1-Supuestos!$B$2)),0)-0.01</f>
        <v/>
      </c>
      <c r="N105" s="2">
        <f>M105-M105*Supuestos!$B$2-Supuestos!$B$3-2*E105-Supuestos!$B$6</f>
        <v/>
      </c>
      <c r="O105" t="inlineStr">
        <is>
          <t>Sin precio de mercado: precio objetivo</t>
        </is>
      </c>
      <c r="P105" t="inlineStr">
        <is>
          <t>Sin datos de mercado</t>
        </is>
      </c>
      <c r="Q105" t="inlineStr"/>
      <c r="R105" t="n">
        <v>16</v>
      </c>
      <c r="S105" t="inlineStr"/>
    </row>
    <row r="106">
      <c r="A106" t="inlineStr">
        <is>
          <t>Daewoo</t>
        </is>
      </c>
      <c r="B106" t="inlineStr">
        <is>
          <t>DW2042FR-09  (FR-09)</t>
        </is>
      </c>
      <c r="C106" t="inlineStr"/>
      <c r="D106" s="2" t="n">
        <v>27</v>
      </c>
      <c r="E106" s="2">
        <f>D106*(1+Supuestos!$B$4)</f>
        <v/>
      </c>
      <c r="F106" s="2">
        <f>E106+Supuestos!$B$5</f>
        <v/>
      </c>
      <c r="G106" s="2">
        <f>ROUNDUP((F106+Supuestos!$B$3+Supuestos!$B$9)/(1-Supuestos!$B$2),0)-0.01</f>
        <v/>
      </c>
      <c r="H106" s="2">
        <f>ROUNDUP(MAX((F106+Supuestos!$B$3)/(1-Supuestos!$B$2-Supuestos!$B$8),(F106+Supuestos!$B$3+Supuestos!$B$7)/(1-Supuestos!$B$2)),0)-0.01</f>
        <v/>
      </c>
      <c r="I106" s="2" t="n"/>
      <c r="J106" s="3" t="n">
        <v>46.99</v>
      </c>
      <c r="K106" s="2">
        <f>J106-J106*Supuestos!$B$2-Supuestos!$B$3-F106</f>
        <v/>
      </c>
      <c r="L106" s="4">
        <f>K106/J106</f>
        <v/>
      </c>
      <c r="M106" s="2">
        <f>ROUNDUP(MAX(2*J106*0.92,(2*E106+Supuestos!$B$6+Supuestos!$B$3+8)/(1-Supuestos!$B$2)),0)-0.01</f>
        <v/>
      </c>
      <c r="N106" s="2">
        <f>M106-M106*Supuestos!$B$2-Supuestos!$B$3-2*E106-Supuestos!$B$6</f>
        <v/>
      </c>
      <c r="O106" t="inlineStr">
        <is>
          <t>Sin precio de mercado: precio objetivo</t>
        </is>
      </c>
      <c r="P106" t="inlineStr">
        <is>
          <t>Sin datos de mercado</t>
        </is>
      </c>
      <c r="Q106" t="inlineStr"/>
      <c r="S106" t="inlineStr"/>
    </row>
    <row r="107">
      <c r="A107" t="inlineStr">
        <is>
          <t>Fisher &amp; Paykel</t>
        </is>
      </c>
      <c r="B107" t="inlineStr">
        <is>
          <t>FWC1 - 862288</t>
        </is>
      </c>
      <c r="C107" t="inlineStr"/>
      <c r="D107" s="2" t="n">
        <v>75</v>
      </c>
      <c r="E107" s="2">
        <f>D107*(1+Supuestos!$B$4)</f>
        <v/>
      </c>
      <c r="F107" s="2">
        <f>E107+Supuestos!$B$5</f>
        <v/>
      </c>
      <c r="G107" s="2">
        <f>ROUNDUP((F107+Supuestos!$B$3+Supuestos!$B$9)/(1-Supuestos!$B$2),0)-0.01</f>
        <v/>
      </c>
      <c r="H107" s="2">
        <f>ROUNDUP(MAX((F107+Supuestos!$B$3)/(1-Supuestos!$B$2-Supuestos!$B$8),(F107+Supuestos!$B$3+Supuestos!$B$7)/(1-Supuestos!$B$2)),0)-0.01</f>
        <v/>
      </c>
      <c r="I107" s="2" t="n"/>
      <c r="J107" s="3" t="n">
        <v>111.99</v>
      </c>
      <c r="K107" s="2">
        <f>J107-J107*Supuestos!$B$2-Supuestos!$B$3-F107</f>
        <v/>
      </c>
      <c r="L107" s="4">
        <f>K107/J107</f>
        <v/>
      </c>
      <c r="M107" s="2">
        <f>ROUNDUP(MAX(2*J107*0.92,(2*E107+Supuestos!$B$6+Supuestos!$B$3+8)/(1-Supuestos!$B$2)),0)-0.01</f>
        <v/>
      </c>
      <c r="N107" s="2">
        <f>M107-M107*Supuestos!$B$2-Supuestos!$B$3-2*E107-Supuestos!$B$6</f>
        <v/>
      </c>
      <c r="O107" t="inlineStr">
        <is>
          <t>Sin precio de mercado: precio objetivo</t>
        </is>
      </c>
      <c r="P107" t="inlineStr">
        <is>
          <t>Sin datos de mercado</t>
        </is>
      </c>
      <c r="Q107" t="inlineStr"/>
      <c r="R107" t="n">
        <v>4</v>
      </c>
      <c r="S107" t="inlineStr"/>
    </row>
    <row r="108">
      <c r="A108" t="inlineStr">
        <is>
          <t>Fisher &amp; Paykel</t>
        </is>
      </c>
      <c r="B108" t="inlineStr">
        <is>
          <t>FWC2 - 862285</t>
        </is>
      </c>
      <c r="C108" t="inlineStr"/>
      <c r="D108" s="2" t="n">
        <v>75</v>
      </c>
      <c r="E108" s="2">
        <f>D108*(1+Supuestos!$B$4)</f>
        <v/>
      </c>
      <c r="F108" s="2">
        <f>E108+Supuestos!$B$5</f>
        <v/>
      </c>
      <c r="G108" s="2">
        <f>ROUNDUP((F108+Supuestos!$B$3+Supuestos!$B$9)/(1-Supuestos!$B$2),0)-0.01</f>
        <v/>
      </c>
      <c r="H108" s="2">
        <f>ROUNDUP(MAX((F108+Supuestos!$B$3)/(1-Supuestos!$B$2-Supuestos!$B$8),(F108+Supuestos!$B$3+Supuestos!$B$7)/(1-Supuestos!$B$2)),0)-0.01</f>
        <v/>
      </c>
      <c r="I108" s="2" t="n"/>
      <c r="J108" s="3" t="n">
        <v>111.99</v>
      </c>
      <c r="K108" s="2">
        <f>J108-J108*Supuestos!$B$2-Supuestos!$B$3-F108</f>
        <v/>
      </c>
      <c r="L108" s="4">
        <f>K108/J108</f>
        <v/>
      </c>
      <c r="M108" s="2">
        <f>ROUNDUP(MAX(2*J108*0.92,(2*E108+Supuestos!$B$6+Supuestos!$B$3+8)/(1-Supuestos!$B$2)),0)-0.01</f>
        <v/>
      </c>
      <c r="N108" s="2">
        <f>M108-M108*Supuestos!$B$2-Supuestos!$B$3-2*E108-Supuestos!$B$6</f>
        <v/>
      </c>
      <c r="O108" t="inlineStr">
        <is>
          <t>Sin precio de mercado: precio objetivo</t>
        </is>
      </c>
      <c r="P108" t="inlineStr">
        <is>
          <t>Sin datos de mercado</t>
        </is>
      </c>
      <c r="Q108" t="inlineStr"/>
      <c r="R108" t="n">
        <v>4</v>
      </c>
      <c r="S108" t="inlineStr"/>
    </row>
    <row r="109">
      <c r="A109" t="inlineStr">
        <is>
          <t>Fisher &amp; Paykel</t>
        </is>
      </c>
      <c r="B109" t="inlineStr">
        <is>
          <t>FWC3 - 847200</t>
        </is>
      </c>
      <c r="C109" t="inlineStr"/>
      <c r="D109" s="2" t="n">
        <v>75</v>
      </c>
      <c r="E109" s="2">
        <f>D109*(1+Supuestos!$B$4)</f>
        <v/>
      </c>
      <c r="F109" s="2">
        <f>E109+Supuestos!$B$5</f>
        <v/>
      </c>
      <c r="G109" s="2">
        <f>ROUNDUP((F109+Supuestos!$B$3+Supuestos!$B$9)/(1-Supuestos!$B$2),0)-0.01</f>
        <v/>
      </c>
      <c r="H109" s="2">
        <f>ROUNDUP(MAX((F109+Supuestos!$B$3)/(1-Supuestos!$B$2-Supuestos!$B$8),(F109+Supuestos!$B$3+Supuestos!$B$7)/(1-Supuestos!$B$2)),0)-0.01</f>
        <v/>
      </c>
      <c r="I109" s="2" t="n"/>
      <c r="J109" s="3" t="n">
        <v>111.99</v>
      </c>
      <c r="K109" s="2">
        <f>J109-J109*Supuestos!$B$2-Supuestos!$B$3-F109</f>
        <v/>
      </c>
      <c r="L109" s="4">
        <f>K109/J109</f>
        <v/>
      </c>
      <c r="M109" s="2">
        <f>ROUNDUP(MAX(2*J109*0.92,(2*E109+Supuestos!$B$6+Supuestos!$B$3+8)/(1-Supuestos!$B$2)),0)-0.01</f>
        <v/>
      </c>
      <c r="N109" s="2">
        <f>M109-M109*Supuestos!$B$2-Supuestos!$B$3-2*E109-Supuestos!$B$6</f>
        <v/>
      </c>
      <c r="O109" t="inlineStr">
        <is>
          <t>Sin precio de mercado: precio objetivo</t>
        </is>
      </c>
      <c r="P109" t="inlineStr">
        <is>
          <t>Sin datos de mercado</t>
        </is>
      </c>
      <c r="Q109" t="inlineStr"/>
      <c r="R109" t="n">
        <v>4</v>
      </c>
      <c r="S109" t="inlineStr"/>
    </row>
    <row r="110">
      <c r="A110" t="inlineStr">
        <is>
          <t>Fisher &amp; Paykel</t>
        </is>
      </c>
      <c r="B110" t="inlineStr">
        <is>
          <t>FWC4 - 847201</t>
        </is>
      </c>
      <c r="C110" t="inlineStr"/>
      <c r="D110" s="2" t="n">
        <v>75</v>
      </c>
      <c r="E110" s="2">
        <f>D110*(1+Supuestos!$B$4)</f>
        <v/>
      </c>
      <c r="F110" s="2">
        <f>E110+Supuestos!$B$5</f>
        <v/>
      </c>
      <c r="G110" s="2">
        <f>ROUNDUP((F110+Supuestos!$B$3+Supuestos!$B$9)/(1-Supuestos!$B$2),0)-0.01</f>
        <v/>
      </c>
      <c r="H110" s="2">
        <f>ROUNDUP(MAX((F110+Supuestos!$B$3)/(1-Supuestos!$B$2-Supuestos!$B$8),(F110+Supuestos!$B$3+Supuestos!$B$7)/(1-Supuestos!$B$2)),0)-0.01</f>
        <v/>
      </c>
      <c r="I110" s="2" t="n"/>
      <c r="J110" s="3" t="n">
        <v>111.99</v>
      </c>
      <c r="K110" s="2">
        <f>J110-J110*Supuestos!$B$2-Supuestos!$B$3-F110</f>
        <v/>
      </c>
      <c r="L110" s="4">
        <f>K110/J110</f>
        <v/>
      </c>
      <c r="M110" s="2">
        <f>ROUNDUP(MAX(2*J110*0.92,(2*E110+Supuestos!$B$6+Supuestos!$B$3+8)/(1-Supuestos!$B$2)),0)-0.01</f>
        <v/>
      </c>
      <c r="N110" s="2">
        <f>M110-M110*Supuestos!$B$2-Supuestos!$B$3-2*E110-Supuestos!$B$6</f>
        <v/>
      </c>
      <c r="O110" t="inlineStr">
        <is>
          <t>Sin precio de mercado: precio objetivo</t>
        </is>
      </c>
      <c r="P110" t="inlineStr">
        <is>
          <t>Sin datos de mercado</t>
        </is>
      </c>
      <c r="Q110" t="inlineStr"/>
      <c r="R110" t="n">
        <v>4</v>
      </c>
      <c r="S110" t="inlineStr"/>
    </row>
    <row r="111">
      <c r="A111" t="inlineStr">
        <is>
          <t>Smart Choice</t>
        </is>
      </c>
      <c r="B111" t="inlineStr">
        <is>
          <t>SCPUREAIRU</t>
        </is>
      </c>
      <c r="C111" t="inlineStr"/>
      <c r="D111" s="2" t="n">
        <v>10.89</v>
      </c>
      <c r="E111" s="2">
        <f>D111*(1+Supuestos!$B$4)</f>
        <v/>
      </c>
      <c r="F111" s="2">
        <f>E111+Supuestos!$B$5</f>
        <v/>
      </c>
      <c r="G111" s="2">
        <f>ROUNDUP((F111+Supuestos!$B$3+Supuestos!$B$9)/(1-Supuestos!$B$2),0)-0.01</f>
        <v/>
      </c>
      <c r="H111" s="2">
        <f>ROUNDUP(MAX((F111+Supuestos!$B$3)/(1-Supuestos!$B$2-Supuestos!$B$8),(F111+Supuestos!$B$3+Supuestos!$B$7)/(1-Supuestos!$B$2)),0)-0.01</f>
        <v/>
      </c>
      <c r="I111" s="2" t="n"/>
      <c r="J111" s="3" t="n">
        <v>27.99</v>
      </c>
      <c r="K111" s="2">
        <f>J111-J111*Supuestos!$B$2-Supuestos!$B$3-F111</f>
        <v/>
      </c>
      <c r="L111" s="4">
        <f>K111/J111</f>
        <v/>
      </c>
      <c r="M111" s="2">
        <f>ROUNDUP(MAX(2*J111*0.92,(2*E111+Supuestos!$B$6+Supuestos!$B$3+8)/(1-Supuestos!$B$2)),0)-0.01</f>
        <v/>
      </c>
      <c r="N111" s="2">
        <f>M111-M111*Supuestos!$B$2-Supuestos!$B$3-2*E111-Supuestos!$B$6</f>
        <v/>
      </c>
      <c r="O111" t="inlineStr">
        <is>
          <t>Sin precio de mercado: precio objetivo</t>
        </is>
      </c>
      <c r="P111" t="inlineStr">
        <is>
          <t>Sin datos de mercado</t>
        </is>
      </c>
      <c r="Q111" t="inlineStr"/>
      <c r="R111" t="n">
        <v>4</v>
      </c>
      <c r="S111" t="inlineStr"/>
    </row>
    <row r="112">
      <c r="A112" t="inlineStr">
        <is>
          <t>Smart Choice</t>
        </is>
      </c>
      <c r="B112" t="inlineStr">
        <is>
          <t>SCPUREAIR2PK</t>
        </is>
      </c>
      <c r="C112" t="inlineStr"/>
      <c r="D112" s="2" t="n">
        <v>13.96</v>
      </c>
      <c r="E112" s="2">
        <f>D112*(1+Supuestos!$B$4)</f>
        <v/>
      </c>
      <c r="F112" s="2">
        <f>E112+Supuestos!$B$5</f>
        <v/>
      </c>
      <c r="G112" s="2">
        <f>ROUNDUP((F112+Supuestos!$B$3+Supuestos!$B$9)/(1-Supuestos!$B$2),0)-0.01</f>
        <v/>
      </c>
      <c r="H112" s="2">
        <f>ROUNDUP(MAX((F112+Supuestos!$B$3)/(1-Supuestos!$B$2-Supuestos!$B$8),(F112+Supuestos!$B$3+Supuestos!$B$7)/(1-Supuestos!$B$2)),0)-0.01</f>
        <v/>
      </c>
      <c r="I112" s="2" t="n"/>
      <c r="J112" s="3" t="n">
        <v>30.99</v>
      </c>
      <c r="K112" s="2">
        <f>J112-J112*Supuestos!$B$2-Supuestos!$B$3-F112</f>
        <v/>
      </c>
      <c r="L112" s="4">
        <f>K112/J112</f>
        <v/>
      </c>
      <c r="M112" s="2">
        <f>ROUNDUP(MAX(2*J112*0.92,(2*E112+Supuestos!$B$6+Supuestos!$B$3+8)/(1-Supuestos!$B$2)),0)-0.01</f>
        <v/>
      </c>
      <c r="N112" s="2">
        <f>M112-M112*Supuestos!$B$2-Supuestos!$B$3-2*E112-Supuestos!$B$6</f>
        <v/>
      </c>
      <c r="O112" t="inlineStr">
        <is>
          <t>Sin precio de mercado: precio objetivo</t>
        </is>
      </c>
      <c r="P112" t="inlineStr">
        <is>
          <t>Sin datos de mercado</t>
        </is>
      </c>
      <c r="Q112" t="inlineStr"/>
      <c r="R112" t="n">
        <v>4</v>
      </c>
      <c r="S112" t="inlineStr"/>
    </row>
    <row r="113">
      <c r="A113" t="inlineStr">
        <is>
          <t>Smart Choice</t>
        </is>
      </c>
      <c r="B113" t="inlineStr">
        <is>
          <t>SCPAULTRAII2PK</t>
        </is>
      </c>
      <c r="C113" t="inlineStr"/>
      <c r="D113" s="2" t="n">
        <v>13.27</v>
      </c>
      <c r="E113" s="2">
        <f>D113*(1+Supuestos!$B$4)</f>
        <v/>
      </c>
      <c r="F113" s="2">
        <f>E113+Supuestos!$B$5</f>
        <v/>
      </c>
      <c r="G113" s="2">
        <f>ROUNDUP((F113+Supuestos!$B$3+Supuestos!$B$9)/(1-Supuestos!$B$2),0)-0.01</f>
        <v/>
      </c>
      <c r="H113" s="2">
        <f>ROUNDUP(MAX((F113+Supuestos!$B$3)/(1-Supuestos!$B$2-Supuestos!$B$8),(F113+Supuestos!$B$3+Supuestos!$B$7)/(1-Supuestos!$B$2)),0)-0.01</f>
        <v/>
      </c>
      <c r="I113" s="2" t="n"/>
      <c r="J113" s="3" t="n">
        <v>29.99</v>
      </c>
      <c r="K113" s="2">
        <f>J113-J113*Supuestos!$B$2-Supuestos!$B$3-F113</f>
        <v/>
      </c>
      <c r="L113" s="4">
        <f>K113/J113</f>
        <v/>
      </c>
      <c r="M113" s="2">
        <f>ROUNDUP(MAX(2*J113*0.92,(2*E113+Supuestos!$B$6+Supuestos!$B$3+8)/(1-Supuestos!$B$2)),0)-0.01</f>
        <v/>
      </c>
      <c r="N113" s="2">
        <f>M113-M113*Supuestos!$B$2-Supuestos!$B$3-2*E113-Supuestos!$B$6</f>
        <v/>
      </c>
      <c r="O113" t="inlineStr">
        <is>
          <t>Sin precio de mercado: precio objetivo</t>
        </is>
      </c>
      <c r="P113" t="inlineStr">
        <is>
          <t>Sin datos de mercado</t>
        </is>
      </c>
      <c r="Q113" t="inlineStr"/>
      <c r="R113" t="n">
        <v>4</v>
      </c>
      <c r="S113" t="inlineStr"/>
    </row>
    <row r="114">
      <c r="A114" t="inlineStr">
        <is>
          <t>Smart Choice</t>
        </is>
      </c>
      <c r="B114" t="inlineStr">
        <is>
          <t>SCWF4CTO</t>
        </is>
      </c>
      <c r="C114" t="inlineStr"/>
      <c r="D114" s="2" t="n">
        <v>35.18</v>
      </c>
      <c r="E114" s="2">
        <f>D114*(1+Supuestos!$B$4)</f>
        <v/>
      </c>
      <c r="F114" s="2">
        <f>E114+Supuestos!$B$5</f>
        <v/>
      </c>
      <c r="G114" s="2">
        <f>ROUNDUP((F114+Supuestos!$B$3+Supuestos!$B$9)/(1-Supuestos!$B$2),0)-0.01</f>
        <v/>
      </c>
      <c r="H114" s="2">
        <f>ROUNDUP(MAX((F114+Supuestos!$B$3)/(1-Supuestos!$B$2-Supuestos!$B$8),(F114+Supuestos!$B$3+Supuestos!$B$7)/(1-Supuestos!$B$2)),0)-0.01</f>
        <v/>
      </c>
      <c r="I114" s="2" t="n"/>
      <c r="J114" s="3" t="n">
        <v>57.99</v>
      </c>
      <c r="K114" s="2">
        <f>J114-J114*Supuestos!$B$2-Supuestos!$B$3-F114</f>
        <v/>
      </c>
      <c r="L114" s="4">
        <f>K114/J114</f>
        <v/>
      </c>
      <c r="M114" s="2">
        <f>ROUNDUP(MAX(2*J114*0.92,(2*E114+Supuestos!$B$6+Supuestos!$B$3+8)/(1-Supuestos!$B$2)),0)-0.01</f>
        <v/>
      </c>
      <c r="N114" s="2">
        <f>M114-M114*Supuestos!$B$2-Supuestos!$B$3-2*E114-Supuestos!$B$6</f>
        <v/>
      </c>
      <c r="O114" t="inlineStr">
        <is>
          <t>Sin precio de mercado: precio objetivo</t>
        </is>
      </c>
      <c r="P114" t="inlineStr">
        <is>
          <t>Sin datos de mercado</t>
        </is>
      </c>
      <c r="Q114" t="inlineStr"/>
      <c r="R114" t="n">
        <v>4</v>
      </c>
      <c r="S114" t="inlineStr"/>
    </row>
    <row r="115">
      <c r="A115" t="inlineStr">
        <is>
          <t>Smart Choice</t>
        </is>
      </c>
      <c r="B115" t="inlineStr">
        <is>
          <t>SCWFTCTO2</t>
        </is>
      </c>
      <c r="C115" t="inlineStr"/>
      <c r="D115" s="2" t="n">
        <v>35.18</v>
      </c>
      <c r="E115" s="2">
        <f>D115*(1+Supuestos!$B$4)</f>
        <v/>
      </c>
      <c r="F115" s="2">
        <f>E115+Supuestos!$B$5</f>
        <v/>
      </c>
      <c r="G115" s="2">
        <f>ROUNDUP((F115+Supuestos!$B$3+Supuestos!$B$9)/(1-Supuestos!$B$2),0)-0.01</f>
        <v/>
      </c>
      <c r="H115" s="2">
        <f>ROUNDUP(MAX((F115+Supuestos!$B$3)/(1-Supuestos!$B$2-Supuestos!$B$8),(F115+Supuestos!$B$3+Supuestos!$B$7)/(1-Supuestos!$B$2)),0)-0.01</f>
        <v/>
      </c>
      <c r="I115" s="2" t="n"/>
      <c r="J115" s="3" t="n">
        <v>57.99</v>
      </c>
      <c r="K115" s="2">
        <f>J115-J115*Supuestos!$B$2-Supuestos!$B$3-F115</f>
        <v/>
      </c>
      <c r="L115" s="4">
        <f>K115/J115</f>
        <v/>
      </c>
      <c r="M115" s="2">
        <f>ROUNDUP(MAX(2*J115*0.92,(2*E115+Supuestos!$B$6+Supuestos!$B$3+8)/(1-Supuestos!$B$2)),0)-0.01</f>
        <v/>
      </c>
      <c r="N115" s="2">
        <f>M115-M115*Supuestos!$B$2-Supuestos!$B$3-2*E115-Supuestos!$B$6</f>
        <v/>
      </c>
      <c r="O115" t="inlineStr">
        <is>
          <t>Sin precio de mercado: precio objetivo</t>
        </is>
      </c>
      <c r="P115" t="inlineStr">
        <is>
          <t>Sin datos de mercado</t>
        </is>
      </c>
      <c r="Q115" t="inlineStr"/>
      <c r="R115" t="n">
        <v>4</v>
      </c>
      <c r="S115" t="inlineStr"/>
    </row>
    <row r="116">
      <c r="A116" t="inlineStr">
        <is>
          <t>Hisense</t>
        </is>
      </c>
      <c r="B116" t="inlineStr">
        <is>
          <t>HX2019FR-A</t>
        </is>
      </c>
      <c r="C116" t="inlineStr"/>
      <c r="D116" s="2" t="n">
        <v>36</v>
      </c>
      <c r="E116" s="2">
        <f>D116*(1+Supuestos!$B$4)</f>
        <v/>
      </c>
      <c r="F116" s="2">
        <f>E116+Supuestos!$B$5</f>
        <v/>
      </c>
      <c r="G116" s="2">
        <f>ROUNDUP((F116+Supuestos!$B$3+Supuestos!$B$9)/(1-Supuestos!$B$2),0)-0.01</f>
        <v/>
      </c>
      <c r="H116" s="2">
        <f>ROUNDUP(MAX((F116+Supuestos!$B$3)/(1-Supuestos!$B$2-Supuestos!$B$8),(F116+Supuestos!$B$3+Supuestos!$B$7)/(1-Supuestos!$B$2)),0)-0.01</f>
        <v/>
      </c>
      <c r="I116" s="2" t="n"/>
      <c r="J116" s="3" t="n">
        <v>58.99</v>
      </c>
      <c r="K116" s="2">
        <f>J116-J116*Supuestos!$B$2-Supuestos!$B$3-F116</f>
        <v/>
      </c>
      <c r="L116" s="4">
        <f>K116/J116</f>
        <v/>
      </c>
      <c r="M116" s="2">
        <f>ROUNDUP(MAX(2*J116*0.92,(2*E116+Supuestos!$B$6+Supuestos!$B$3+8)/(1-Supuestos!$B$2)),0)-0.01</f>
        <v/>
      </c>
      <c r="N116" s="2">
        <f>M116-M116*Supuestos!$B$2-Supuestos!$B$3-2*E116-Supuestos!$B$6</f>
        <v/>
      </c>
      <c r="O116" t="inlineStr">
        <is>
          <t>Sin precio de mercado: precio objetivo</t>
        </is>
      </c>
      <c r="P116" t="inlineStr">
        <is>
          <t>Sin datos de mercado</t>
        </is>
      </c>
      <c r="Q116" t="inlineStr"/>
      <c r="R116" t="n">
        <v>12</v>
      </c>
      <c r="S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90" customWidth="1" min="3" max="3"/>
  </cols>
  <sheetData>
    <row r="1">
      <c r="A1" t="inlineStr">
        <is>
          <t>Supuesto (cámbialo y la hoja se recalcula)</t>
        </is>
      </c>
      <c r="B1" t="inlineStr">
        <is>
          <t>Valor</t>
        </is>
      </c>
      <c r="C1" t="inlineStr">
        <is>
          <t>Qué es</t>
        </is>
      </c>
    </row>
    <row r="2">
      <c r="A2" t="inlineStr">
        <is>
          <t>Comisión de PayPal (%)</t>
        </is>
      </c>
      <c r="B2" t="n">
        <v>0.054</v>
      </c>
      <c r="C2" t="inlineStr">
        <is>
          <t>Comisión por venta. Verifica la de tu cuenta: es una suposición conservadora para una cuenta en Colombia.</t>
        </is>
      </c>
    </row>
    <row r="3">
      <c r="A3" t="inlineStr">
        <is>
          <t>Comisión fija por venta (USD)</t>
        </is>
      </c>
      <c r="B3" t="n">
        <v>0.3</v>
      </c>
      <c r="C3" t="inlineStr">
        <is>
          <t>Cargo fijo por transacción.</t>
        </is>
      </c>
    </row>
    <row r="4">
      <c r="A4" t="inlineStr">
        <is>
          <t>Flete y gastos hasta tu depósito (%)</t>
        </is>
      </c>
      <c r="B4" t="n">
        <v>0.08</v>
      </c>
      <c r="C4" t="inlineStr">
        <is>
          <t>Sobre el precio del proveedor: flete, aranceles, almacenaje. Pon el real.</t>
        </is>
      </c>
    </row>
    <row r="5">
      <c r="A5" t="inlineStr">
        <is>
          <t>Envío al cliente, 1 filtro (USD)</t>
        </is>
      </c>
      <c r="B5" t="n">
        <v>7.5</v>
      </c>
      <c r="C5" t="inlineStr">
        <is>
          <t>Etiqueta promedio nacional (USPS Ground Advantage, menos de 1 lb: unos $5.50 a $8.40 según la zona) + empaque. Si el precio incluye envío gratis, se suma al costo.</t>
        </is>
      </c>
    </row>
    <row r="6">
      <c r="A6" t="inlineStr">
        <is>
          <t>Envío al cliente, paquete de 2 (USD)</t>
        </is>
      </c>
      <c r="B6" t="n">
        <v>9.5</v>
      </c>
      <c r="C6" t="inlineStr">
        <is>
          <t>Etiqueta + empaque.</t>
        </is>
      </c>
    </row>
    <row r="7">
      <c r="A7" t="inlineStr">
        <is>
          <t>Ganancia mínima por pedido (USD)</t>
        </is>
      </c>
      <c r="B7" t="n">
        <v>6</v>
      </c>
      <c r="C7" t="inlineStr">
        <is>
          <t>Para el precio objetivo.</t>
        </is>
      </c>
    </row>
    <row r="8">
      <c r="A8" t="inlineStr">
        <is>
          <t>Margen mínimo sobre el precio (%)</t>
        </is>
      </c>
      <c r="B8" t="n">
        <v>0.15</v>
      </c>
      <c r="C8" t="inlineStr">
        <is>
          <t>Para el precio objetivo.</t>
        </is>
      </c>
    </row>
    <row r="9">
      <c r="A9" t="inlineStr">
        <is>
          <t>Ganancia mínima absoluta (USD)</t>
        </is>
      </c>
      <c r="B9" t="n">
        <v>4</v>
      </c>
      <c r="C9" t="inlineStr">
        <is>
          <t>Para el precio mínimo (el piso).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7" t="inlineStr">
        <is>
          <t>Cómo se calcula el precio</t>
        </is>
      </c>
    </row>
    <row r="2">
      <c r="A2" t="inlineStr">
        <is>
          <t>1. Costo puesto en depósito = precio del proveedor + flete y gastos (%).</t>
        </is>
      </c>
    </row>
    <row r="3">
      <c r="A3" t="inlineStr">
        <is>
          <t>2. Costo + envío al cliente = lo anterior + etiqueta y empaque. El precio de venta incluye envío (envío gratis para el cliente).</t>
        </is>
      </c>
    </row>
    <row r="4">
      <c r="A4" t="inlineStr">
        <is>
          <t>3. Precio mínimo: el menor precio con el que ganas el «piso» (USD) después de la comisión de PayPal.</t>
        </is>
      </c>
    </row>
    <row r="5">
      <c r="A5" t="inlineStr">
        <is>
          <t>4. Precio objetivo: el menor precio que deja al menos la ganancia mínima y el margen mínimo.</t>
        </is>
      </c>
    </row>
    <row r="6">
      <c r="A6" t="inlineStr">
        <is>
          <t>5. Precio de la calle: lo que he visto que cobran otras tiendas por el filtro original (capturas de búsqueda, pueden haber cambiado: verifícalos en Amazon, Walmart y Home Depot antes de publicar).</t>
        </is>
      </c>
    </row>
    <row r="7">
      <c r="A7" t="inlineStr">
        <is>
          <t>6. PRECIO DE VENTA: el objetivo si es competitivo; si no, se iguala al mercado siempre que quede ganancia; si el mercado está casi al precio de costo, no conviene venderlo suelto.</t>
        </is>
      </c>
    </row>
    <row r="8">
      <c r="A8" t="inlineStr">
        <is>
          <t>7. Paquete de 2: descuento de 8 % (mínimo $8 de ganancia): invita a comprar de a 2 y diluye el envío.</t>
        </is>
      </c>
    </row>
    <row r="9">
      <c r="A9" t="inlineStr"/>
    </row>
    <row r="10">
      <c r="A10" t="inlineStr">
        <is>
          <t>Aviso: los precios de mercado son capturas de internet de 2025–2026; cambian a diario. Los costos de flete, aranceles y la comisión de PayPal son supuestos tuyos que debes ajustar en la hoja «Supuestos».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2026-10-22T16:51:01Z</dcterms:created>
  <dcterms:modified xmlns:dcterms="http://purl.org/dc/terms/" xmlns:xsi="http://www.w3.org/2001/XMLSchema-instance" xsi:type="dcterms:W3CDTF">2026-10-22T16:51:01Z</dcterms:modified>
</cp:coreProperties>
</file>